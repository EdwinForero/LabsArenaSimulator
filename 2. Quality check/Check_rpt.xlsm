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User\Edwin\Documents\Info Personal\University\2023 - I\Simulación\Arena\Quality check\"/>
    </mc:Choice>
  </mc:AlternateContent>
  <xr:revisionPtr revIDLastSave="0" documentId="13_ncr:1_{3A315A57-888F-47B2-A9DC-80BF28E43B0F}" xr6:coauthVersionLast="47" xr6:coauthVersionMax="47" xr10:uidLastSave="{00000000-0000-0000-0000-000000000000}"/>
  <bookViews>
    <workbookView xWindow="-120" yWindow="-120" windowWidth="29040" windowHeight="157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ContinuousTimeStatsByRep!$A$1:$L$7</definedName>
    <definedName name="ExternalData_1" localSheetId="4" hidden="1">CounterStatsByRep!$A$1:$G$2</definedName>
    <definedName name="ExternalData_1" localSheetId="2" hidden="1">DiscreteTimeStatsByRep!$A$1:$K$11</definedName>
    <definedName name="ExternalData_1" localSheetId="6" hidden="1">FrequencyStatsByRep!$A$1:$J$2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550" r:id="rId8"/>
    <pivotCache cacheId="556" r:id="rId9"/>
    <pivotCache cacheId="562" r:id="rId10"/>
    <pivotCache cacheId="568" r:id="rId11"/>
    <pivotCache cacheId="5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L5" i="20" s="1" a="1"/>
  <c r="L5" i="20" s="1"/>
  <c r="I6" i="20"/>
  <c r="P6" i="20" s="1" a="1"/>
  <c r="P6" i="20" s="1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O6" i="20" a="1"/>
  <c r="O6" i="20" s="1"/>
  <c r="P3" i="20" a="1"/>
  <c r="P3" i="20" s="1"/>
  <c r="M2" i="18"/>
  <c r="M3" i="18"/>
  <c r="M4" i="18"/>
  <c r="M5" i="18"/>
  <c r="M6" i="18"/>
  <c r="M7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U7" i="18" s="1"/>
  <c r="P2" i="18" a="1"/>
  <c r="P2" i="18" s="1"/>
  <c r="P4" i="18" a="1"/>
  <c r="P4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S2" i="18" a="1"/>
  <c r="S2" i="18" s="1"/>
  <c r="S3" i="18" a="1"/>
  <c r="S3" i="18" s="1"/>
  <c r="S5" i="18" a="1"/>
  <c r="S5" i="18" s="1"/>
  <c r="S7" i="18" a="1"/>
  <c r="S7" i="18" s="1"/>
  <c r="T2" i="18" a="1"/>
  <c r="T2" i="18" s="1"/>
  <c r="T3" i="18" a="1"/>
  <c r="T3" i="18" s="1"/>
  <c r="T4" i="18" a="1"/>
  <c r="T4" i="18" s="1"/>
  <c r="T5" i="18" a="1"/>
  <c r="T5" i="18" s="1"/>
  <c r="T7" i="18" a="1"/>
  <c r="T7" i="18" s="1"/>
  <c r="L2" i="17"/>
  <c r="L3" i="17"/>
  <c r="L4" i="17"/>
  <c r="L5" i="17"/>
  <c r="O3" i="17" s="1" a="1"/>
  <c r="O3" i="17" s="1"/>
  <c r="L6" i="17"/>
  <c r="L7" i="17"/>
  <c r="L8" i="17"/>
  <c r="L9" i="17"/>
  <c r="O4" i="17" s="1" a="1"/>
  <c r="O4" i="17" s="1"/>
  <c r="L10" i="17"/>
  <c r="L11" i="17"/>
  <c r="M2" i="17" a="1"/>
  <c r="M2" i="17" s="1"/>
  <c r="W2" i="17" s="1"/>
  <c r="M3" i="17" a="1"/>
  <c r="M3" i="17" s="1"/>
  <c r="M4" i="17" a="1"/>
  <c r="M4" i="17" s="1"/>
  <c r="W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W10" i="17" s="1"/>
  <c r="M11" i="17" a="1"/>
  <c r="M11" i="17" s="1"/>
  <c r="N10" i="17" a="1"/>
  <c r="N10" i="17" s="1"/>
  <c r="O6" i="17" a="1"/>
  <c r="O6" i="17" s="1"/>
  <c r="O7" i="17" a="1"/>
  <c r="O7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8" i="17" a="1"/>
  <c r="R8" i="17" s="1"/>
  <c r="R9" i="17" a="1"/>
  <c r="R9" i="17" s="1"/>
  <c r="R10" i="17" a="1"/>
  <c r="R10" i="17" s="1"/>
  <c r="R11" i="17" a="1"/>
  <c r="R11" i="17" s="1"/>
  <c r="S2" i="17" a="1"/>
  <c r="S2" i="17" s="1"/>
  <c r="S3" i="17" a="1"/>
  <c r="S3" i="17" s="1"/>
  <c r="S5" i="17" a="1"/>
  <c r="S5" i="17" s="1"/>
  <c r="S6" i="17" a="1"/>
  <c r="S6" i="17" s="1"/>
  <c r="S7" i="17" a="1"/>
  <c r="S7" i="17" s="1"/>
  <c r="S8" i="17" a="1"/>
  <c r="S8" i="17" s="1"/>
  <c r="S9" i="17" a="1"/>
  <c r="S9" i="17" s="1"/>
  <c r="S10" i="17" a="1"/>
  <c r="S10" i="17" s="1"/>
  <c r="S11" i="17" a="1"/>
  <c r="S1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8" i="17" a="1"/>
  <c r="T8" i="17" s="1"/>
  <c r="T9" i="17" a="1"/>
  <c r="T9" i="17" s="1"/>
  <c r="T10" i="17" a="1"/>
  <c r="T10" i="17" s="1"/>
  <c r="T11" i="17" a="1"/>
  <c r="T1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8" i="17" a="1"/>
  <c r="U8" i="17" s="1"/>
  <c r="U9" i="17" a="1"/>
  <c r="U9" i="17" s="1"/>
  <c r="U10" i="17" a="1"/>
  <c r="U10" i="17" s="1"/>
  <c r="U11" i="17" a="1"/>
  <c r="U1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8" i="17" a="1"/>
  <c r="V8" i="17" s="1"/>
  <c r="V9" i="17" a="1"/>
  <c r="V9" i="17" s="1"/>
  <c r="V10" i="17" a="1"/>
  <c r="V10" i="17" s="1"/>
  <c r="V11" i="17" a="1"/>
  <c r="V11" i="17" s="1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 s="1"/>
  <c r="X8" i="17" a="1"/>
  <c r="X8" i="17" s="1"/>
  <c r="X9" i="17" a="1"/>
  <c r="X9" i="17" s="1"/>
  <c r="X10" i="17" a="1"/>
  <c r="X10" i="17" s="1"/>
  <c r="X11" i="17" a="1"/>
  <c r="X11" i="17" s="1"/>
  <c r="G2" i="16"/>
  <c r="L3" i="20" l="1" a="1"/>
  <c r="L3" i="20" s="1"/>
  <c r="N3" i="20" s="1"/>
  <c r="L2" i="20" a="1"/>
  <c r="L2" i="20" s="1"/>
  <c r="N2" i="20" s="1"/>
  <c r="P2" i="20" a="1"/>
  <c r="P2" i="20" s="1"/>
  <c r="K6" i="20" a="1"/>
  <c r="K6" i="20" s="1"/>
  <c r="K5" i="20" a="1"/>
  <c r="K5" i="20" s="1"/>
  <c r="K2" i="20" a="1"/>
  <c r="K2" i="20" s="1"/>
  <c r="O4" i="20" a="1"/>
  <c r="O4" i="20" s="1"/>
  <c r="O3" i="20" a="1"/>
  <c r="O3" i="20" s="1"/>
  <c r="O2" i="20" a="1"/>
  <c r="O2" i="20" s="1"/>
  <c r="N5" i="20"/>
  <c r="P4" i="20" a="1"/>
  <c r="P4" i="20" s="1"/>
  <c r="L6" i="20" a="1"/>
  <c r="L6" i="20" s="1"/>
  <c r="N6" i="20" s="1"/>
  <c r="P5" i="20" a="1"/>
  <c r="P5" i="20" s="1"/>
  <c r="L4" i="20" a="1"/>
  <c r="L4" i="20" s="1"/>
  <c r="N4" i="20" s="1"/>
  <c r="O5" i="20" a="1"/>
  <c r="O5" i="20" s="1"/>
  <c r="K4" i="20" a="1"/>
  <c r="K4" i="20" s="1"/>
  <c r="K3" i="20" a="1"/>
  <c r="K3" i="20" s="1"/>
  <c r="P3" i="18" a="1"/>
  <c r="P3" i="18" s="1"/>
  <c r="R3" i="18" s="1"/>
  <c r="U6" i="18"/>
  <c r="U4" i="18"/>
  <c r="R4" i="18"/>
  <c r="U2" i="18"/>
  <c r="R2" i="18"/>
  <c r="U5" i="18"/>
  <c r="U3" i="18"/>
  <c r="S4" i="18" a="1"/>
  <c r="S4" i="18" s="1"/>
  <c r="O7" i="18" a="1"/>
  <c r="O7" i="18" s="1"/>
  <c r="O6" i="18" a="1"/>
  <c r="O6" i="18" s="1"/>
  <c r="P7" i="18" a="1"/>
  <c r="P7" i="18" s="1"/>
  <c r="R7" i="18" s="1"/>
  <c r="O5" i="18" a="1"/>
  <c r="O5" i="18" s="1"/>
  <c r="P6" i="18" a="1"/>
  <c r="P6" i="18" s="1"/>
  <c r="R6" i="18" s="1"/>
  <c r="O4" i="18" a="1"/>
  <c r="O4" i="18" s="1"/>
  <c r="P5" i="18" a="1"/>
  <c r="P5" i="18" s="1"/>
  <c r="R5" i="18" s="1"/>
  <c r="O3" i="18" a="1"/>
  <c r="O3" i="18" s="1"/>
  <c r="S6" i="18" a="1"/>
  <c r="S6" i="18" s="1"/>
  <c r="O2" i="18" a="1"/>
  <c r="O2" i="18" s="1"/>
  <c r="T6" i="18" a="1"/>
  <c r="T6" i="18" s="1"/>
  <c r="O5" i="17" a="1"/>
  <c r="O5" i="17" s="1"/>
  <c r="S4" i="17" a="1"/>
  <c r="S4" i="17" s="1"/>
  <c r="O2" i="17" a="1"/>
  <c r="O2" i="17" s="1"/>
  <c r="N11" i="17" a="1"/>
  <c r="N11" i="17" s="1"/>
  <c r="N9" i="17" a="1"/>
  <c r="N9" i="17" s="1"/>
  <c r="N8" i="17" a="1"/>
  <c r="N8" i="17" s="1"/>
  <c r="Y4" i="17"/>
  <c r="Q4" i="17" s="1"/>
  <c r="N4" i="17" a="1"/>
  <c r="N4" i="17" s="1"/>
  <c r="N3" i="17" a="1"/>
  <c r="N3" i="17" s="1"/>
  <c r="Y10" i="17"/>
  <c r="O11" i="17" a="1"/>
  <c r="O11" i="17" s="1"/>
  <c r="N2" i="17" a="1"/>
  <c r="N2" i="17" s="1"/>
  <c r="O10" i="17" a="1"/>
  <c r="O10" i="17" s="1"/>
  <c r="Y2" i="17"/>
  <c r="O9" i="17" a="1"/>
  <c r="O9" i="17" s="1"/>
  <c r="O8" i="17" a="1"/>
  <c r="O8" i="17" s="1"/>
  <c r="N5" i="17" a="1"/>
  <c r="N5" i="17" s="1"/>
  <c r="Y3" i="17"/>
  <c r="Q3" i="17" s="1"/>
  <c r="W3" i="17"/>
  <c r="Y5" i="17"/>
  <c r="Q5" i="17" s="1"/>
  <c r="W5" i="17"/>
  <c r="W11" i="17"/>
  <c r="Y11" i="17"/>
  <c r="Y9" i="17"/>
  <c r="W9" i="17"/>
  <c r="Y8" i="17"/>
  <c r="W8" i="17"/>
  <c r="Y7" i="17"/>
  <c r="Q7" i="17" s="1"/>
  <c r="W7" i="17"/>
  <c r="Y6" i="17"/>
  <c r="Q6" i="17" s="1"/>
  <c r="W6" i="17"/>
  <c r="N7" i="17" a="1"/>
  <c r="N7" i="17" s="1"/>
  <c r="N6" i="17" a="1"/>
  <c r="N6" i="17" s="1"/>
  <c r="Q8" i="17" l="1"/>
  <c r="Q10" i="17"/>
  <c r="Q2" i="17"/>
  <c r="Q9" i="17"/>
  <c r="Q11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7" saveData="1">
    <dbPr connection="Driver={SQLite3 ODBC Driver};Database=d:\user\edwin\documents\info personal\university\2023 - i\simulación\arena\quality check\check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7" saveData="1">
    <dbPr connection="Driver={SQLite3 ODBC Driver};Database=d:\user\edwin\documents\info personal\university\2023 - i\simulación\arena\quality check\check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7" saveData="1">
    <dbPr connection="Driver={SQLite3 ODBC Driver};Database=d:\user\edwin\documents\info personal\university\2023 - i\simulación\arena\quality check\check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7" saveData="1">
    <dbPr connection="Driver={SQLite3 ODBC Driver};Database=d:\user\edwin\documents\info personal\university\2023 - i\simulación\arena\quality check\check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7" saveData="1">
    <dbPr connection="Driver={SQLite3 ODBC Driver};Database=d:\user\edwin\documents\info personal\university\2023 - i\simulación\arena\quality check\check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7" saveData="1">
    <dbPr connection="Driver={SQLite3 ODBC Driver};Database=d:\user\edwin\documents\info personal\university\2023 - i\simulación\arena\quality check\check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<sst xmlns="http://schemas.openxmlformats.org/spreadsheetml/2006/main" count="328" uniqueCount="104">
  <si>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</si>
  <si>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</si>
  <si>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</si>
  <si>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</si>
  <si>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</si>
  <si>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</si>
  <si>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</si>
  <si>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</si>
  <si>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</si>
  <si>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</si>
  <si>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</si>
  <si>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</si>
  <si>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</si>
  <si>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</si>
  <si>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</si>
  <si>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</si>
  <si>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</si>
  <si>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</si>
  <si>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</si>
  <si>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</si>
  <si>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</si>
  <si>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</si>
  <si>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</si>
  <si>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</si>
  <si>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</si>
  <si>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</si>
  <si>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</si>
  <si>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</si>
  <si>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</si>
  <si>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</si>
  <si>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</si>
  <si>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</si>
  <si>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</si>
  <si>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</si>
  <si>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</si>
  <si>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</si>
  <si>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</si>
  <si>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</si>
  <si>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</si>
  <si>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</si>
  <si>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</si>
  <si>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</si>
  <si>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</si>
  <si>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</si>
  <si>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</si>
  <si>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</si>
  <si>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</si>
  <si>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</si>
  <si>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</si>
  <si>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</si>
  <si>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</si>
  <si>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</si>
  <si>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</si>
  <si>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</si>
  <si>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</si>
  <si>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</si>
  <si>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</si>
  <si>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</si>
  <si>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</si>
  <si>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</si>
  <si>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</si>
  <si>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</si>
  <si>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</si>
  <si>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</si>
  <si>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</si>
  <si>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</si>
  <si>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</si>
  <si>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</si>
  <si>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D:\User\Edwin\Documents\Info Personal\University\2023 - I\Simulación\Arena\Quality check\Check.p</t>
  </si>
  <si>
    <t>2023-04-12 20:12:25</t>
  </si>
  <si>
    <t>Assembly.Queue</t>
  </si>
  <si>
    <t>Waiting Time</t>
  </si>
  <si>
    <t>Queue</t>
  </si>
  <si>
    <t>Flow Time</t>
  </si>
  <si>
    <t>Interval</t>
  </si>
  <si>
    <t>User Specified</t>
  </si>
  <si>
    <t>Jobs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</si>
  <si>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</si>
  <si>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</si>
  <si>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</si>
  <si>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</si>
  <si>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</si>
  <si>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</si>
  <si>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</si>
  <si>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Painting.Queue</t>
  </si>
  <si>
    <t>Reworks per Job</t>
  </si>
  <si>
    <t>Expression</t>
  </si>
  <si>
    <t>Assembler</t>
  </si>
  <si>
    <t>Instantaneous Utilization</t>
  </si>
  <si>
    <t>Resource</t>
  </si>
  <si>
    <t>Number Busy</t>
  </si>
  <si>
    <t>Number Scheduled</t>
  </si>
  <si>
    <t>Number Waiting</t>
  </si>
  <si>
    <t>WIP</t>
  </si>
  <si>
    <t>Assembler.NumberSeized</t>
  </si>
  <si>
    <t>Total Number Seized</t>
  </si>
  <si>
    <t>Assembler.ScheduledUtilization</t>
  </si>
  <si>
    <t>Scheduled Utilization</t>
  </si>
  <si>
    <t>Jobs.NumberIn</t>
  </si>
  <si>
    <t>Number In</t>
  </si>
  <si>
    <t>Jobs.NumberOut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</si>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</sst>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NumberFormat="1"/>
    <xf numFmtId="0" fontId="0" fillId="0" borderId="0" xfId="0" pivotButton="1"/>
    <xf numFmtId="2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28.874273148147" createdVersion="7" refreshedVersion="7" minRefreshableVersion="3" recordCount="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4">
        <s v="Assembly.Queue"/>
        <s v="Flow Time"/>
        <s v="Jobs"/>
        <s v="Painting.Queue"/>
        <s v="Reworks per Job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3">
        <s v="Waiting Time"/>
        <s v="Interval"/>
        <s v="NVA Time"/>
        <s v="Other Time"/>
        <s v="Total Time"/>
        <s v="Transfer Time"/>
        <s v="VA Time"/>
        <s v="Wait Time"/>
        <s v="Expression"/>
        <m u="1"/>
        <s v="Total Time Per Entity" u="1"/>
        <s v="VA Time Per Entity" u="1"/>
        <s v="Wait Time Per Entity" u="1"/>
      </sharedItems>
    </cacheField>
    <cacheField name="Source" numFmtId="0">
      <sharedItems containsBlank="1" count="5">
        <s v="Queue"/>
        <s v="User Specified"/>
        <s v="Entity"/>
        <m u="1"/>
        <s v="Process" u="1"/>
      </sharedItems>
    </cacheField>
    <cacheField name="Average" numFmtId="0">
      <sharedItems containsSemiMixedTypes="0" containsString="0" containsNumber="1" minValue="0" maxValue="596.63032606436002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minValue="0" maxValue="6.1703809435967401"/>
    </cacheField>
    <cacheField name="Maximum" numFmtId="0">
      <sharedItems containsSemiMixedTypes="0" containsString="0" containsNumber="1" minValue="0" maxValue="1475.76530512468"/>
    </cacheField>
    <cacheField name="NumberObservations" numFmtId="0">
      <sharedItems containsSemiMixedTypes="0" containsString="0" containsNumber="1" containsInteger="1" minValue="300" maxValue="349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96.6303260643600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96.63032606436002"/>
    </cacheField>
    <cacheField name="MaximumAverage" numFmtId="0">
      <sharedItems containsSemiMixedTypes="0" containsString="0" containsNumber="1" minValue="0" maxValue="596.63032606436002"/>
    </cacheField>
    <cacheField name="OverallMinimum" numFmtId="0">
      <sharedItems containsSemiMixedTypes="0" containsString="0" containsNumber="1" minValue="0" maxValue="6.1703809435967401"/>
    </cacheField>
    <cacheField name="OverallMaximum" numFmtId="0">
      <sharedItems containsSemiMixedTypes="0" containsString="0" containsNumber="1" minValue="0" maxValue="1475.76530512468"/>
    </cacheField>
    <cacheField name="AverageNumberObservations" numFmtId="0">
      <sharedItems containsSemiMixedTypes="0" containsString="0" containsNumber="1" containsInteger="1" minValue="300" maxValue="349"/>
    </cacheField>
    <cacheField name="SummaryHalfWidth" numFmtId="0">
      <sharedItems containsSemiMixedTypes="0" containsString="0" containsNumber="1" containsInteger="1" minValue="2E+2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28.874273263886" createdVersion="7" refreshedVersion="7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Assembler.NumberSeized"/>
        <s v="Assembler.ScheduledUtilization"/>
        <s v="Jobs.NumberIn"/>
        <s v="Jobs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95865221046861504" maxValue="64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95865221046861504" maxValue="649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95865221046861504" maxValue="649"/>
    </cacheField>
    <cacheField name="Maximum" numFmtId="0">
      <sharedItems containsSemiMixedTypes="0" containsString="0" containsNumber="1" minValue="0.95865221046861504" maxValue="6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28.874273379632" createdVersion="7" refreshedVersion="7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28.874273611109" createdVersion="7" refreshedVersion="7" minRefreshableVersion="3" recordCount="6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8">
        <s v="Assembler"/>
        <s v="Assembly.Queue"/>
        <s v="Jobs"/>
        <s v="Painting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.95865221046861504" maxValue="74.578790758045102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43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95865221046861504" maxValue="74.57879075804510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95865221046861504" maxValue="74.578790758045102"/>
    </cacheField>
    <cacheField name="MaximumAverage" numFmtId="0">
      <sharedItems containsSemiMixedTypes="0" containsString="0" containsNumber="1" minValue="0.95865221046861504" maxValue="74.578790758045102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28.874273726855" createdVersion="7" refreshedVersion="7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s v="2023-04-12 20:12:25"/>
    <n v="1"/>
    <x v="0"/>
    <x v="0"/>
    <x v="0"/>
    <n v="255.385369918316"/>
    <n v="3E+20"/>
    <n v="0"/>
    <n v="514.50187934141002"/>
    <n v="349"/>
    <s v="Unnamed ProjectAssembly.QueueWaiting TimeQueue"/>
    <n v="1"/>
    <n v="255.385369918316"/>
    <n v="0"/>
    <n v="0.95"/>
    <n v="4E+20"/>
    <n v="255.385369918316"/>
    <n v="255.385369918316"/>
    <n v="0"/>
    <n v="514.50187934141002"/>
    <n v="349"/>
    <n v="3E+20"/>
    <n v="1"/>
    <n v="1"/>
  </r>
  <r>
    <x v="0"/>
    <s v="2023-04-12 20:12:25"/>
    <n v="1"/>
    <x v="1"/>
    <x v="1"/>
    <x v="1"/>
    <n v="596.63032606436002"/>
    <n v="2E+20"/>
    <n v="6.1703809435967401"/>
    <n v="1475.76530512468"/>
    <n v="300"/>
    <s v="Unnamed ProjectFlow TimeIntervalUser Specified"/>
    <n v="1"/>
    <n v="596.63032606436002"/>
    <n v="0"/>
    <n v="0.95"/>
    <n v="4E+20"/>
    <n v="596.63032606436002"/>
    <n v="596.63032606436002"/>
    <n v="6.1703809435967401"/>
    <n v="1475.76530512468"/>
    <n v="300"/>
    <n v="2E+20"/>
    <n v="1"/>
    <n v="1"/>
  </r>
  <r>
    <x v="0"/>
    <s v="2023-04-12 20:12:25"/>
    <n v="1"/>
    <x v="2"/>
    <x v="2"/>
    <x v="2"/>
    <n v="0"/>
    <n v="2E+20"/>
    <n v="0"/>
    <n v="0"/>
    <n v="300"/>
    <s v="Unnamed ProjectJobsNVA TimeEntity"/>
    <n v="1"/>
    <n v="0"/>
    <n v="0"/>
    <n v="0.95"/>
    <n v="4E+20"/>
    <n v="0"/>
    <n v="0"/>
    <n v="0"/>
    <n v="0"/>
    <n v="300"/>
    <n v="2E+20"/>
    <n v="1"/>
    <n v="1"/>
  </r>
  <r>
    <x v="0"/>
    <s v="2023-04-12 20:12:25"/>
    <n v="1"/>
    <x v="2"/>
    <x v="3"/>
    <x v="2"/>
    <n v="0"/>
    <n v="2E+20"/>
    <n v="0"/>
    <n v="0"/>
    <n v="300"/>
    <s v="Unnamed ProjectJobsOther TimeEntity"/>
    <n v="1"/>
    <n v="0"/>
    <n v="0"/>
    <n v="0.95"/>
    <n v="4E+20"/>
    <n v="0"/>
    <n v="0"/>
    <n v="0"/>
    <n v="0"/>
    <n v="300"/>
    <n v="2E+20"/>
    <n v="1"/>
    <n v="1"/>
  </r>
  <r>
    <x v="0"/>
    <s v="2023-04-12 20:12:25"/>
    <n v="1"/>
    <x v="2"/>
    <x v="4"/>
    <x v="2"/>
    <n v="596.63032606436002"/>
    <n v="2E+20"/>
    <n v="6.1703809435967401"/>
    <n v="1475.76530512468"/>
    <n v="300"/>
    <s v="Unnamed ProjectJobsTotal TimeEntity"/>
    <n v="1"/>
    <n v="596.63032606436002"/>
    <n v="0"/>
    <n v="0.95"/>
    <n v="4E+20"/>
    <n v="596.63032606436002"/>
    <n v="596.63032606436002"/>
    <n v="6.1703809435967401"/>
    <n v="1475.76530512468"/>
    <n v="300"/>
    <n v="2E+20"/>
    <n v="1"/>
    <n v="1"/>
  </r>
  <r>
    <x v="0"/>
    <s v="2023-04-12 20:12:25"/>
    <n v="1"/>
    <x v="2"/>
    <x v="5"/>
    <x v="2"/>
    <n v="0"/>
    <n v="2E+20"/>
    <n v="0"/>
    <n v="0"/>
    <n v="300"/>
    <s v="Unnamed ProjectJobsTransfer TimeEntity"/>
    <n v="1"/>
    <n v="0"/>
    <n v="0"/>
    <n v="0.95"/>
    <n v="4E+20"/>
    <n v="0"/>
    <n v="0"/>
    <n v="0"/>
    <n v="0"/>
    <n v="300"/>
    <n v="2E+20"/>
    <n v="1"/>
    <n v="1"/>
  </r>
  <r>
    <x v="0"/>
    <s v="2023-04-12 20:12:25"/>
    <n v="1"/>
    <x v="2"/>
    <x v="6"/>
    <x v="2"/>
    <n v="7.6692176837489203"/>
    <n v="2E+20"/>
    <n v="5.0139435201217903"/>
    <n v="20.8246941704679"/>
    <n v="300"/>
    <s v="Unnamed ProjectJobsVA TimeEntity"/>
    <n v="1"/>
    <n v="7.6692176837489203"/>
    <n v="0"/>
    <n v="0.95"/>
    <n v="4E+20"/>
    <n v="7.6692176837489203"/>
    <n v="7.6692176837489203"/>
    <n v="5.0139435201217903"/>
    <n v="20.8246941704679"/>
    <n v="300"/>
    <n v="2E+20"/>
    <n v="1"/>
    <n v="1"/>
  </r>
  <r>
    <x v="0"/>
    <s v="2023-04-12 20:12:25"/>
    <n v="1"/>
    <x v="2"/>
    <x v="7"/>
    <x v="2"/>
    <n v="588.96110838061202"/>
    <n v="2E+20"/>
    <n v="0"/>
    <n v="1454.9406109542099"/>
    <n v="300"/>
    <s v="Unnamed ProjectJobsWait TimeEntity"/>
    <n v="1"/>
    <n v="588.96110838061202"/>
    <n v="0"/>
    <n v="0.95"/>
    <n v="4E+20"/>
    <n v="588.96110838061202"/>
    <n v="588.96110838061202"/>
    <n v="0"/>
    <n v="1454.9406109542099"/>
    <n v="300"/>
    <n v="2E+20"/>
    <n v="1"/>
    <n v="1"/>
  </r>
  <r>
    <x v="0"/>
    <s v="2023-04-12 20:12:25"/>
    <n v="1"/>
    <x v="3"/>
    <x v="0"/>
    <x v="0"/>
    <n v="291.86279470897102"/>
    <n v="2E+20"/>
    <n v="0"/>
    <n v="518.28426645053798"/>
    <n v="300"/>
    <s v="Unnamed ProjectPainting.QueueWaiting TimeQueue"/>
    <n v="1"/>
    <n v="291.86279470897102"/>
    <n v="0"/>
    <n v="0.95"/>
    <n v="4E+20"/>
    <n v="291.86279470897102"/>
    <n v="291.86279470897102"/>
    <n v="0"/>
    <n v="518.28426645053798"/>
    <n v="300"/>
    <n v="2E+20"/>
    <n v="1"/>
    <n v="1"/>
  </r>
  <r>
    <x v="0"/>
    <s v="2023-04-12 20:12:25"/>
    <n v="1"/>
    <x v="4"/>
    <x v="8"/>
    <x v="1"/>
    <n v="0.163333333333333"/>
    <n v="2E+20"/>
    <n v="0"/>
    <n v="4"/>
    <n v="300"/>
    <s v="Unnamed ProjectReworks per JobExpressionUser Specified"/>
    <n v="1"/>
    <n v="0.163333333333333"/>
    <n v="0"/>
    <n v="0.95"/>
    <n v="4E+20"/>
    <n v="0.163333333333333"/>
    <n v="0.163333333333333"/>
    <n v="0"/>
    <n v="4"/>
    <n v="300"/>
    <n v="2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04-12 20:12:25"/>
    <n v="1"/>
    <x v="0"/>
    <x v="0"/>
    <x v="0"/>
    <n v="649"/>
    <n v="0"/>
    <s v="Unnamed ProjectAssembler.NumberSeizedTotal Number SeizedResource"/>
    <n v="1"/>
    <n v="649"/>
    <n v="0"/>
    <n v="0.95"/>
    <n v="4E+20"/>
    <n v="649"/>
    <n v="649"/>
  </r>
  <r>
    <x v="0"/>
    <s v="2023-04-12 20:12:25"/>
    <n v="1"/>
    <x v="1"/>
    <x v="1"/>
    <x v="0"/>
    <n v="0.95865221046861504"/>
    <n v="0"/>
    <s v="Unnamed ProjectAssembler.ScheduledUtilizationScheduled UtilizationResource"/>
    <n v="1"/>
    <n v="0.95865221046861504"/>
    <n v="0"/>
    <n v="0.95"/>
    <n v="4E+20"/>
    <n v="0.95865221046861504"/>
    <n v="0.95865221046861504"/>
  </r>
  <r>
    <x v="0"/>
    <s v="2023-04-12 20:12:25"/>
    <n v="1"/>
    <x v="2"/>
    <x v="2"/>
    <x v="1"/>
    <n v="300"/>
    <n v="0"/>
    <s v="Unnamed ProjectJobs.NumberInNumber InEntity"/>
    <n v="1"/>
    <n v="300"/>
    <n v="0"/>
    <n v="0.95"/>
    <n v="4E+20"/>
    <n v="300"/>
    <n v="300"/>
  </r>
  <r>
    <x v="0"/>
    <s v="2023-04-12 20:12:25"/>
    <n v="1"/>
    <x v="3"/>
    <x v="3"/>
    <x v="1"/>
    <n v="300"/>
    <n v="0"/>
    <s v="Unnamed ProjectJobs.NumberOutNumber OutEntity"/>
    <n v="1"/>
    <n v="300"/>
    <n v="0"/>
    <n v="0.95"/>
    <n v="4E+20"/>
    <n v="300"/>
    <n v="300"/>
  </r>
  <r>
    <x v="0"/>
    <s v="2023-04-12 20:12:25"/>
    <n v="1"/>
    <x v="4"/>
    <x v="3"/>
    <x v="2"/>
    <n v="300"/>
    <n v="0"/>
    <s v="Unnamed ProjectSystem.NumberOutNumber OutSystem"/>
    <n v="1"/>
    <n v="300"/>
    <n v="0"/>
    <n v="0.95"/>
    <n v="4E+20"/>
    <n v="300"/>
    <n v="3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s v="2023-04-12 20:12:25"/>
    <n v="1"/>
    <x v="0"/>
    <x v="0"/>
    <x v="0"/>
    <n v="0.95865221046861504"/>
    <n v="2E+20"/>
    <n v="0"/>
    <n v="1"/>
    <n v="0"/>
    <n v="0"/>
    <s v="Unnamed ProjectAssemblerInstantaneous UtilizationResource"/>
    <n v="1"/>
    <n v="0.95865221046861504"/>
    <n v="0"/>
    <n v="0.95"/>
    <n v="4E+20"/>
    <n v="0.95865221046861504"/>
    <n v="0.95865221046861504"/>
    <n v="2E+20"/>
  </r>
  <r>
    <x v="0"/>
    <s v="2023-04-12 20:12:25"/>
    <n v="1"/>
    <x v="0"/>
    <x v="1"/>
    <x v="0"/>
    <n v="0.95865221046861504"/>
    <n v="2E+20"/>
    <n v="0"/>
    <n v="1"/>
    <n v="0"/>
    <n v="0"/>
    <s v="Unnamed ProjectAssemblerNumber BusyResource"/>
    <n v="1"/>
    <n v="0.95865221046861504"/>
    <n v="0"/>
    <n v="0.95"/>
    <n v="4E+20"/>
    <n v="0.95865221046861504"/>
    <n v="0.95865221046861504"/>
    <n v="2E+20"/>
  </r>
  <r>
    <x v="0"/>
    <s v="2023-04-12 20:12:25"/>
    <n v="1"/>
    <x v="0"/>
    <x v="2"/>
    <x v="0"/>
    <n v="1"/>
    <n v="2E+20"/>
    <n v="1"/>
    <n v="1"/>
    <n v="1"/>
    <n v="0"/>
    <s v="Unnamed ProjectAssemblerNumber ScheduledResource"/>
    <n v="1"/>
    <n v="1"/>
    <n v="0"/>
    <n v="0.95"/>
    <n v="4E+20"/>
    <n v="1"/>
    <n v="1"/>
    <n v="2E+20"/>
  </r>
  <r>
    <x v="0"/>
    <s v="2023-04-12 20:12:25"/>
    <n v="1"/>
    <x v="1"/>
    <x v="3"/>
    <x v="1"/>
    <n v="37.137289208955202"/>
    <n v="3E+20"/>
    <n v="0"/>
    <n v="81"/>
    <n v="0"/>
    <n v="0"/>
    <s v="Unnamed ProjectAssembly.QueueNumber WaitingQueue"/>
    <n v="1"/>
    <n v="37.137289208955202"/>
    <n v="0"/>
    <n v="0.95"/>
    <n v="4E+20"/>
    <n v="37.137289208955202"/>
    <n v="37.137289208955202"/>
    <n v="3E+20"/>
  </r>
  <r>
    <x v="0"/>
    <s v="2023-04-12 20:12:25"/>
    <n v="1"/>
    <x v="2"/>
    <x v="4"/>
    <x v="2"/>
    <n v="74.578790758045102"/>
    <n v="3E+20"/>
    <n v="0"/>
    <n v="143"/>
    <n v="0"/>
    <n v="0"/>
    <s v="Unnamed ProjectJobsWIPEntity"/>
    <n v="1"/>
    <n v="74.578790758045102"/>
    <n v="0"/>
    <n v="0.95"/>
    <n v="4E+20"/>
    <n v="74.578790758045102"/>
    <n v="74.578790758045102"/>
    <n v="3E+20"/>
  </r>
  <r>
    <x v="0"/>
    <s v="2023-04-12 20:12:25"/>
    <n v="1"/>
    <x v="3"/>
    <x v="3"/>
    <x v="1"/>
    <n v="36.4828493386213"/>
    <n v="2E+20"/>
    <n v="0"/>
    <n v="74"/>
    <n v="0"/>
    <n v="0"/>
    <s v="Unnamed ProjectPainting.QueueNumber WaitingQueue"/>
    <n v="1"/>
    <n v="36.4828493386213"/>
    <n v="0"/>
    <n v="0.95"/>
    <n v="4E+20"/>
    <n v="36.4828493386213"/>
    <n v="36.4828493386213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50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2:M1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5"/>
        <item m="1" x="38"/>
        <item m="1" x="10"/>
        <item m="1" x="90"/>
        <item m="1" x="73"/>
        <item m="1" x="43"/>
        <item m="1" x="99"/>
        <item m="1" x="31"/>
        <item m="1" x="35"/>
        <item m="1" x="102"/>
        <item m="1" x="68"/>
        <item m="1" x="80"/>
        <item m="1" x="85"/>
        <item m="1" x="9"/>
        <item m="1" x="37"/>
        <item m="1" x="27"/>
        <item m="1" x="103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13">
        <item x="1"/>
        <item x="2"/>
        <item x="3"/>
        <item x="4"/>
        <item x="5"/>
        <item x="6"/>
        <item x="7"/>
        <item x="0"/>
        <item m="1" x="10"/>
        <item m="1" x="11"/>
        <item m="1" x="12"/>
        <item m="1" x="9"/>
        <item x="8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0">
    <i>
      <x v="3"/>
      <x v="99"/>
      <x v="7"/>
      <x v="1"/>
    </i>
    <i r="1">
      <x v="100"/>
      <x/>
      <x v="2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2"/>
      <x v="7"/>
      <x v="1"/>
    </i>
    <i r="1">
      <x v="103"/>
      <x v="12"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56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562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68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O2:Y8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8">
        <item m="1" x="19"/>
        <item m="1" x="10"/>
        <item m="1" x="26"/>
        <item m="1" x="35"/>
        <item m="1" x="48"/>
        <item m="1" x="47"/>
        <item m="1" x="11"/>
        <item m="1" x="112"/>
        <item m="1" x="90"/>
        <item m="1" x="53"/>
        <item m="1" x="40"/>
        <item m="1" x="44"/>
        <item m="1" x="126"/>
        <item m="1" x="29"/>
        <item m="1" x="111"/>
        <item m="1" x="33"/>
        <item m="1" x="84"/>
        <item m="1" x="98"/>
        <item m="1" x="8"/>
        <item m="1" x="34"/>
        <item m="1" x="121"/>
        <item m="1" x="23"/>
        <item m="1" x="113"/>
        <item m="1" x="12"/>
        <item m="1" x="39"/>
        <item m="1" x="65"/>
        <item m="1" x="9"/>
        <item m="1" x="15"/>
        <item m="1" x="85"/>
        <item m="1" x="66"/>
        <item m="1" x="100"/>
        <item m="1" x="56"/>
        <item m="1" x="20"/>
        <item m="1" x="50"/>
        <item m="1" x="86"/>
        <item m="1" x="71"/>
        <item m="1" x="21"/>
        <item m="1" x="31"/>
        <item m="1" x="93"/>
        <item m="1" x="7"/>
        <item m="1" x="120"/>
        <item m="1" x="78"/>
        <item m="1" x="18"/>
        <item m="1" x="103"/>
        <item m="1" x="49"/>
        <item m="1" x="122"/>
        <item m="1" x="83"/>
        <item m="1" x="25"/>
        <item m="1" x="70"/>
        <item m="1" x="89"/>
        <item m="1" x="102"/>
        <item m="1" x="110"/>
        <item m="1" x="119"/>
        <item m="1" x="6"/>
        <item m="1" x="24"/>
        <item m="1" x="38"/>
        <item m="1" x="27"/>
        <item m="1" x="5"/>
        <item m="1" x="99"/>
        <item m="1" x="116"/>
        <item m="1" x="42"/>
        <item m="1" x="77"/>
        <item m="1" x="30"/>
        <item m="1" x="51"/>
        <item m="1" x="36"/>
        <item m="1" x="60"/>
        <item m="1" x="45"/>
        <item m="1" x="67"/>
        <item m="1" x="52"/>
        <item m="1" x="79"/>
        <item m="1" x="61"/>
        <item m="1" x="87"/>
        <item m="1" x="68"/>
        <item m="1" x="96"/>
        <item m="1" x="80"/>
        <item m="1" x="101"/>
        <item m="1" x="88"/>
        <item m="1" x="105"/>
        <item m="1" x="117"/>
        <item m="1" x="107"/>
        <item m="1" x="91"/>
        <item m="1" x="64"/>
        <item m="1" x="43"/>
        <item m="1" x="58"/>
        <item m="1" x="22"/>
        <item m="1" x="28"/>
        <item m="1" x="37"/>
        <item m="1" x="41"/>
        <item m="1" x="73"/>
        <item m="1" x="118"/>
        <item m="1" x="108"/>
        <item m="1" x="92"/>
        <item m="1" x="59"/>
        <item m="1" x="127"/>
        <item m="1" x="75"/>
        <item m="1" x="63"/>
        <item m="1" x="95"/>
        <item m="1" x="76"/>
        <item m="1" x="55"/>
        <item m="1" x="62"/>
        <item m="1" x="16"/>
        <item m="1" x="81"/>
        <item m="1" x="97"/>
        <item m="1" x="106"/>
        <item m="1" x="114"/>
        <item m="1" x="125"/>
        <item m="1" x="13"/>
        <item m="1" x="32"/>
        <item m="1" x="124"/>
        <item m="1" x="14"/>
        <item m="1" x="82"/>
        <item m="1" x="57"/>
        <item m="1" x="72"/>
        <item m="1" x="17"/>
        <item m="1" x="123"/>
        <item m="1" x="104"/>
        <item m="1" x="54"/>
        <item m="1" x="115"/>
        <item m="1" x="74"/>
        <item m="1" x="94"/>
        <item m="1" x="109"/>
        <item m="1" x="46"/>
        <item m="1" x="69"/>
        <item m="1" x="4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6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  <i r="1">
      <x v="127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74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1" tableType="queryTable" totalsRowShown="0">
  <autoFilter ref="A1:Y11" xr:uid="{C3D003CA-1AFF-426C-A03D-D3AF5760DF1A}"/>
  <sortState xmlns:xlrd2="http://schemas.microsoft.com/office/spreadsheetml/2017/richdata2" ref="A2:Y11">
    <sortCondition ref="D1:D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3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2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1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0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9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8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7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6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5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4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3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2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1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0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7" tableType="queryTable" totalsRowShown="0">
  <autoFilter ref="A1:U7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6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3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1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0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39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6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6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3</v>
      </c>
      <c r="E2">
        <v>1</v>
      </c>
      <c r="F2">
        <v>2400</v>
      </c>
      <c r="G2">
        <f>0.95</f>
        <v>0.95</v>
      </c>
    </row>
  </sheetData>
  <phoneticPr fontId="2" type="noConversion"/>
  <conditionalFormatting sqref="D2">
    <cfRule type="expression" dxfId="38" priority="1">
      <formula>D2=3</formula>
    </cfRule>
    <cfRule type="expression" dxfId="37" priority="2">
      <formula>D2=2</formula>
    </cfRule>
    <cfRule type="expression" dxfId="36" priority="3">
      <formula>D2=1</formula>
    </cfRule>
    <cfRule type="expression" dxfId="35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2"/>
  <sheetViews>
    <sheetView tabSelected="1" topLeftCell="L1" workbookViewId="0">
      <selection activeCell="Q27" sqref="Q27"/>
    </sheetView>
  </sheetViews>
  <sheetFormatPr defaultRowHeight="15" x14ac:dyDescent="0.25"/>
  <cols>
    <col min="1" max="1" width="33.28515625" customWidth="1"/>
    <col min="2" max="2" width="28.7109375" bestFit="1" customWidth="1"/>
    <col min="3" max="3" width="15.14062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1.140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25.42578125" bestFit="1" customWidth="1"/>
    <col min="18" max="18" width="9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2" t="s">
        <v>10</v>
      </c>
      <c r="O1" s="1" t="s">
        <v>12</v>
      </c>
      <c r="AA1" s="1" t="s">
        <v>18</v>
      </c>
      <c r="AK1" s="2" t="s">
        <v>13</v>
      </c>
      <c r="AU1" s="1" t="s">
        <v>11</v>
      </c>
    </row>
    <row r="2" spans="1:52" x14ac:dyDescent="0.25">
      <c r="A2" s="4" t="s">
        <v>41</v>
      </c>
      <c r="B2" s="4" t="s">
        <v>21</v>
      </c>
      <c r="C2" s="4" t="s">
        <v>23</v>
      </c>
      <c r="D2" s="4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4" t="s">
        <v>41</v>
      </c>
      <c r="P2" s="4" t="s">
        <v>21</v>
      </c>
      <c r="Q2" s="4" t="s">
        <v>23</v>
      </c>
      <c r="R2" s="4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4" t="s">
        <v>41</v>
      </c>
      <c r="AB2" s="4" t="s">
        <v>21</v>
      </c>
      <c r="AC2" s="4" t="s">
        <v>23</v>
      </c>
      <c r="AD2" s="4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4" t="s">
        <v>41</v>
      </c>
      <c r="AL2" s="4" t="s">
        <v>21</v>
      </c>
      <c r="AM2" s="4" t="s">
        <v>23</v>
      </c>
      <c r="AN2" s="4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4" t="s">
        <v>41</v>
      </c>
      <c r="AV2" s="4" t="s">
        <v>21</v>
      </c>
      <c r="AW2" s="4" t="s">
        <v>57</v>
      </c>
      <c r="AX2" s="4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71</v>
      </c>
      <c r="D3" t="s">
        <v>72</v>
      </c>
      <c r="E3" s="3">
        <v>255.385369918316</v>
      </c>
      <c r="F3" s="3">
        <v>1</v>
      </c>
      <c r="G3" s="3">
        <v>3E+20</v>
      </c>
      <c r="H3" s="3">
        <v>0</v>
      </c>
      <c r="I3" s="3">
        <v>255.385369918316</v>
      </c>
      <c r="J3" s="3">
        <v>255.385369918316</v>
      </c>
      <c r="K3" s="3">
        <v>0</v>
      </c>
      <c r="L3" s="3">
        <v>514.50187934141002</v>
      </c>
      <c r="M3" s="3">
        <v>349</v>
      </c>
      <c r="O3" t="s">
        <v>67</v>
      </c>
      <c r="P3" t="s">
        <v>87</v>
      </c>
      <c r="Q3" t="s">
        <v>88</v>
      </c>
      <c r="R3" t="s">
        <v>89</v>
      </c>
      <c r="S3" s="3">
        <v>0.95865221046861504</v>
      </c>
      <c r="T3" s="3">
        <v>2E+20</v>
      </c>
      <c r="U3" s="3">
        <v>0</v>
      </c>
      <c r="V3" s="3">
        <v>0.95865221046861504</v>
      </c>
      <c r="W3" s="3">
        <v>0.95865221046861504</v>
      </c>
      <c r="X3" s="3">
        <v>0</v>
      </c>
      <c r="Y3" s="3">
        <v>1</v>
      </c>
      <c r="AA3" t="s">
        <v>65</v>
      </c>
      <c r="AB3" t="s">
        <v>65</v>
      </c>
      <c r="AC3" t="s">
        <v>65</v>
      </c>
      <c r="AD3" t="s">
        <v>65</v>
      </c>
      <c r="AE3" s="3"/>
      <c r="AF3" s="3"/>
      <c r="AG3" s="3"/>
      <c r="AH3" s="3"/>
      <c r="AI3" s="3"/>
      <c r="AK3" t="s">
        <v>67</v>
      </c>
      <c r="AL3" t="s">
        <v>102</v>
      </c>
      <c r="AM3" t="s">
        <v>101</v>
      </c>
      <c r="AN3" t="s">
        <v>103</v>
      </c>
      <c r="AO3" s="3">
        <v>300</v>
      </c>
      <c r="AP3" s="3">
        <v>4E+20</v>
      </c>
      <c r="AQ3" s="3">
        <v>0</v>
      </c>
      <c r="AR3" s="3">
        <v>300</v>
      </c>
      <c r="AS3" s="3">
        <v>300</v>
      </c>
      <c r="AU3" t="s">
        <v>65</v>
      </c>
      <c r="AV3" t="s">
        <v>65</v>
      </c>
      <c r="AW3" t="s">
        <v>65</v>
      </c>
      <c r="AX3" t="s">
        <v>65</v>
      </c>
      <c r="AY3" s="6"/>
      <c r="AZ3" s="6"/>
    </row>
    <row r="4" spans="1:52" x14ac:dyDescent="0.25">
      <c r="B4" t="s">
        <v>73</v>
      </c>
      <c r="C4" t="s">
        <v>74</v>
      </c>
      <c r="D4" t="s">
        <v>75</v>
      </c>
      <c r="E4" s="3">
        <v>596.63032606436002</v>
      </c>
      <c r="F4" s="3">
        <v>1</v>
      </c>
      <c r="G4" s="3">
        <v>2E+20</v>
      </c>
      <c r="H4" s="3">
        <v>0</v>
      </c>
      <c r="I4" s="3">
        <v>596.63032606436002</v>
      </c>
      <c r="J4" s="3">
        <v>596.63032606436002</v>
      </c>
      <c r="K4" s="3">
        <v>6.1703809435967401</v>
      </c>
      <c r="L4" s="3">
        <v>1475.76530512468</v>
      </c>
      <c r="M4" s="3">
        <v>300</v>
      </c>
      <c r="Q4" t="s">
        <v>90</v>
      </c>
      <c r="R4" t="s">
        <v>89</v>
      </c>
      <c r="S4" s="3">
        <v>0.95865221046861504</v>
      </c>
      <c r="T4" s="3">
        <v>2E+20</v>
      </c>
      <c r="U4" s="3">
        <v>0</v>
      </c>
      <c r="V4" s="3">
        <v>0.95865221046861504</v>
      </c>
      <c r="W4" s="3">
        <v>0.95865221046861504</v>
      </c>
      <c r="X4" s="3">
        <v>0</v>
      </c>
      <c r="Y4" s="3">
        <v>1</v>
      </c>
      <c r="AL4" t="s">
        <v>94</v>
      </c>
      <c r="AM4" t="s">
        <v>95</v>
      </c>
      <c r="AN4" t="s">
        <v>89</v>
      </c>
      <c r="AO4" s="3">
        <v>649</v>
      </c>
      <c r="AP4" s="3">
        <v>4E+20</v>
      </c>
      <c r="AQ4" s="3">
        <v>0</v>
      </c>
      <c r="AR4" s="3">
        <v>649</v>
      </c>
      <c r="AS4" s="3">
        <v>649</v>
      </c>
    </row>
    <row r="5" spans="1:52" x14ac:dyDescent="0.25">
      <c r="B5" t="s">
        <v>76</v>
      </c>
      <c r="C5" t="s">
        <v>77</v>
      </c>
      <c r="D5" t="s">
        <v>78</v>
      </c>
      <c r="E5" s="3">
        <v>0</v>
      </c>
      <c r="F5" s="3">
        <v>1</v>
      </c>
      <c r="G5" s="3">
        <v>2E+20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300</v>
      </c>
      <c r="Q5" t="s">
        <v>91</v>
      </c>
      <c r="R5" t="s">
        <v>89</v>
      </c>
      <c r="S5" s="3">
        <v>1</v>
      </c>
      <c r="T5" s="3">
        <v>2E+20</v>
      </c>
      <c r="U5" s="3">
        <v>0</v>
      </c>
      <c r="V5" s="3">
        <v>1</v>
      </c>
      <c r="W5" s="3">
        <v>1</v>
      </c>
      <c r="X5" s="3">
        <v>1</v>
      </c>
      <c r="Y5" s="3">
        <v>1</v>
      </c>
      <c r="AL5" t="s">
        <v>96</v>
      </c>
      <c r="AM5" t="s">
        <v>97</v>
      </c>
      <c r="AN5" t="s">
        <v>89</v>
      </c>
      <c r="AO5" s="3">
        <v>0.95865221046861504</v>
      </c>
      <c r="AP5" s="3">
        <v>4E+20</v>
      </c>
      <c r="AQ5" s="3">
        <v>0</v>
      </c>
      <c r="AR5" s="3">
        <v>0.95865221046861504</v>
      </c>
      <c r="AS5" s="3">
        <v>0.95865221046861504</v>
      </c>
    </row>
    <row r="6" spans="1:52" x14ac:dyDescent="0.25">
      <c r="C6" t="s">
        <v>79</v>
      </c>
      <c r="D6" t="s">
        <v>78</v>
      </c>
      <c r="E6" s="3">
        <v>0</v>
      </c>
      <c r="F6" s="3">
        <v>1</v>
      </c>
      <c r="G6" s="3">
        <v>2E+20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300</v>
      </c>
      <c r="P6" t="s">
        <v>70</v>
      </c>
      <c r="Q6" t="s">
        <v>92</v>
      </c>
      <c r="R6" t="s">
        <v>72</v>
      </c>
      <c r="S6" s="3">
        <v>37.137289208955202</v>
      </c>
      <c r="T6" s="3">
        <v>3E+20</v>
      </c>
      <c r="U6" s="3">
        <v>0</v>
      </c>
      <c r="V6" s="3">
        <v>37.137289208955202</v>
      </c>
      <c r="W6" s="3">
        <v>37.137289208955202</v>
      </c>
      <c r="X6" s="3">
        <v>0</v>
      </c>
      <c r="Y6" s="3">
        <v>81</v>
      </c>
      <c r="AL6" t="s">
        <v>98</v>
      </c>
      <c r="AM6" t="s">
        <v>99</v>
      </c>
      <c r="AN6" t="s">
        <v>78</v>
      </c>
      <c r="AO6" s="3">
        <v>300</v>
      </c>
      <c r="AP6" s="3">
        <v>4E+20</v>
      </c>
      <c r="AQ6" s="3">
        <v>0</v>
      </c>
      <c r="AR6" s="3">
        <v>300</v>
      </c>
      <c r="AS6" s="3">
        <v>300</v>
      </c>
    </row>
    <row r="7" spans="1:52" x14ac:dyDescent="0.25">
      <c r="C7" t="s">
        <v>80</v>
      </c>
      <c r="D7" t="s">
        <v>78</v>
      </c>
      <c r="E7" s="3">
        <v>596.63032606436002</v>
      </c>
      <c r="F7" s="3">
        <v>1</v>
      </c>
      <c r="G7" s="3">
        <v>2E+20</v>
      </c>
      <c r="H7" s="3">
        <v>0</v>
      </c>
      <c r="I7" s="3">
        <v>596.63032606436002</v>
      </c>
      <c r="J7" s="3">
        <v>596.63032606436002</v>
      </c>
      <c r="K7" s="3">
        <v>6.1703809435967401</v>
      </c>
      <c r="L7" s="3">
        <v>1475.76530512468</v>
      </c>
      <c r="M7" s="3">
        <v>300</v>
      </c>
      <c r="P7" t="s">
        <v>76</v>
      </c>
      <c r="Q7" t="s">
        <v>93</v>
      </c>
      <c r="R7" t="s">
        <v>78</v>
      </c>
      <c r="S7" s="3">
        <v>74.578790758045102</v>
      </c>
      <c r="T7" s="3">
        <v>3E+20</v>
      </c>
      <c r="U7" s="3">
        <v>0</v>
      </c>
      <c r="V7" s="3">
        <v>74.578790758045102</v>
      </c>
      <c r="W7" s="3">
        <v>74.578790758045102</v>
      </c>
      <c r="X7" s="3">
        <v>0</v>
      </c>
      <c r="Y7" s="3">
        <v>143</v>
      </c>
      <c r="AL7" t="s">
        <v>100</v>
      </c>
      <c r="AM7" t="s">
        <v>101</v>
      </c>
      <c r="AN7" t="s">
        <v>78</v>
      </c>
      <c r="AO7" s="3">
        <v>300</v>
      </c>
      <c r="AP7" s="3">
        <v>4E+20</v>
      </c>
      <c r="AQ7" s="3">
        <v>0</v>
      </c>
      <c r="AR7" s="3">
        <v>300</v>
      </c>
      <c r="AS7" s="3">
        <v>300</v>
      </c>
    </row>
    <row r="8" spans="1:52" x14ac:dyDescent="0.25">
      <c r="C8" t="s">
        <v>81</v>
      </c>
      <c r="D8" t="s">
        <v>78</v>
      </c>
      <c r="E8" s="3">
        <v>0</v>
      </c>
      <c r="F8" s="3">
        <v>1</v>
      </c>
      <c r="G8" s="3">
        <v>2E+20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300</v>
      </c>
      <c r="P8" t="s">
        <v>84</v>
      </c>
      <c r="Q8" t="s">
        <v>92</v>
      </c>
      <c r="R8" t="s">
        <v>72</v>
      </c>
      <c r="S8" s="3">
        <v>36.4828493386213</v>
      </c>
      <c r="T8" s="3">
        <v>2E+20</v>
      </c>
      <c r="U8" s="3">
        <v>0</v>
      </c>
      <c r="V8" s="3">
        <v>36.4828493386213</v>
      </c>
      <c r="W8" s="3">
        <v>36.4828493386213</v>
      </c>
      <c r="X8" s="3">
        <v>0</v>
      </c>
      <c r="Y8" s="3">
        <v>74</v>
      </c>
    </row>
    <row r="9" spans="1:52" x14ac:dyDescent="0.25">
      <c r="C9" t="s">
        <v>82</v>
      </c>
      <c r="D9" t="s">
        <v>78</v>
      </c>
      <c r="E9" s="3">
        <v>7.6692176837489203</v>
      </c>
      <c r="F9" s="3">
        <v>1</v>
      </c>
      <c r="G9" s="3">
        <v>2E+20</v>
      </c>
      <c r="H9" s="3">
        <v>0</v>
      </c>
      <c r="I9" s="3">
        <v>7.6692176837489203</v>
      </c>
      <c r="J9" s="3">
        <v>7.6692176837489203</v>
      </c>
      <c r="K9" s="3">
        <v>5.0139435201217903</v>
      </c>
      <c r="L9" s="3">
        <v>20.8246941704679</v>
      </c>
      <c r="M9" s="3">
        <v>300</v>
      </c>
    </row>
    <row r="10" spans="1:52" x14ac:dyDescent="0.25">
      <c r="C10" t="s">
        <v>83</v>
      </c>
      <c r="D10" t="s">
        <v>78</v>
      </c>
      <c r="E10" s="3">
        <v>588.96110838061202</v>
      </c>
      <c r="F10" s="3">
        <v>1</v>
      </c>
      <c r="G10" s="3">
        <v>2E+20</v>
      </c>
      <c r="H10" s="3">
        <v>0</v>
      </c>
      <c r="I10" s="3">
        <v>588.96110838061202</v>
      </c>
      <c r="J10" s="3">
        <v>588.96110838061202</v>
      </c>
      <c r="K10" s="3">
        <v>0</v>
      </c>
      <c r="L10" s="3">
        <v>1454.9406109542099</v>
      </c>
      <c r="M10" s="3">
        <v>300</v>
      </c>
    </row>
    <row r="11" spans="1:52" x14ac:dyDescent="0.25">
      <c r="B11" t="s">
        <v>84</v>
      </c>
      <c r="C11" t="s">
        <v>71</v>
      </c>
      <c r="D11" t="s">
        <v>72</v>
      </c>
      <c r="E11" s="3">
        <v>291.86279470897102</v>
      </c>
      <c r="F11" s="3">
        <v>1</v>
      </c>
      <c r="G11" s="3">
        <v>2E+20</v>
      </c>
      <c r="H11" s="3">
        <v>0</v>
      </c>
      <c r="I11" s="3">
        <v>291.86279470897102</v>
      </c>
      <c r="J11" s="3">
        <v>291.86279470897102</v>
      </c>
      <c r="K11" s="3">
        <v>0</v>
      </c>
      <c r="L11" s="3">
        <v>518.28426645053798</v>
      </c>
      <c r="M11" s="3">
        <v>300</v>
      </c>
    </row>
    <row r="12" spans="1:52" x14ac:dyDescent="0.25">
      <c r="B12" t="s">
        <v>85</v>
      </c>
      <c r="C12" t="s">
        <v>86</v>
      </c>
      <c r="D12" t="s">
        <v>75</v>
      </c>
      <c r="E12" s="3">
        <v>0.163333333333333</v>
      </c>
      <c r="F12" s="3">
        <v>1</v>
      </c>
      <c r="G12" s="3">
        <v>2E+20</v>
      </c>
      <c r="H12" s="3">
        <v>0</v>
      </c>
      <c r="I12" s="3">
        <v>0.163333333333333</v>
      </c>
      <c r="J12" s="3">
        <v>0.163333333333333</v>
      </c>
      <c r="K12" s="3">
        <v>0</v>
      </c>
      <c r="L12" s="3">
        <v>4</v>
      </c>
      <c r="M12" s="3">
        <v>300</v>
      </c>
    </row>
  </sheetData>
  <dataConsolidate/>
  <conditionalFormatting pivot="1" sqref="G3:G12">
    <cfRule type="expression" dxfId="34" priority="10">
      <formula>G3=200000000000000000000</formula>
    </cfRule>
  </conditionalFormatting>
  <conditionalFormatting pivot="1" sqref="T3:T8">
    <cfRule type="expression" dxfId="33" priority="9">
      <formula>T3=200000000000000000000</formula>
    </cfRule>
  </conditionalFormatting>
  <conditionalFormatting pivot="1" sqref="T3:T8">
    <cfRule type="expression" dxfId="32" priority="8">
      <formula>T3=300000000000000000000</formula>
    </cfRule>
  </conditionalFormatting>
  <conditionalFormatting pivot="1" sqref="G3:G12">
    <cfRule type="expression" dxfId="31" priority="7">
      <formula>G3=300000000000000000000</formula>
    </cfRule>
  </conditionalFormatting>
  <conditionalFormatting pivot="1" sqref="F3:F12">
    <cfRule type="expression" dxfId="30" priority="6">
      <formula>F3=0</formula>
    </cfRule>
  </conditionalFormatting>
  <conditionalFormatting pivot="1" sqref="F3:F12">
    <cfRule type="expression" dxfId="29" priority="5">
      <formula>F3=1</formula>
    </cfRule>
  </conditionalFormatting>
  <conditionalFormatting pivot="1" sqref="T3:T8">
    <cfRule type="expression" dxfId="28" priority="4">
      <formula>T3=400000000000000000000</formula>
    </cfRule>
  </conditionalFormatting>
  <conditionalFormatting pivot="1" sqref="AP3:AP7">
    <cfRule type="expression" dxfId="27" priority="3">
      <formula>AP3=400000000000000000000</formula>
    </cfRule>
  </conditionalFormatting>
  <conditionalFormatting pivot="1" sqref="AF3">
    <cfRule type="expression" dxfId="26" priority="2">
      <formula>AF3=400000000000000000000</formula>
    </cfRule>
  </conditionalFormatting>
  <conditionalFormatting pivot="1" sqref="G3:G12">
    <cfRule type="expression" dxfId="25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1"/>
  <sheetViews>
    <sheetView workbookViewId="0">
      <selection activeCell="K2" sqref="K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6.28515625" bestFit="1" customWidth="1"/>
    <col min="5" max="5" width="13.285156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4.5703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255.385369918316</v>
      </c>
      <c r="H2">
        <v>3E+20</v>
      </c>
      <c r="I2">
        <v>0</v>
      </c>
      <c r="J2">
        <v>514.50187934141002</v>
      </c>
      <c r="K2">
        <v>349</v>
      </c>
      <c r="L2" t="str">
        <f>DiscreteStatsTable[[#This Row],[ProjectName]]&amp;DiscreteStatsTable[[#This Row],[Name]]&amp;DiscreteStatsTable[[#This Row],[Type]]&amp;DiscreteStatsTable[[#This Row],[Source]]</f>
        <v>Unnamed ProjectAssembly.QueueWaiting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255.385369918316</v>
      </c>
      <c r="O2" s="3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s="3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 s="3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s="3" cm="1">
        <f t="array" ref="R2">MIN(IF((DiscreteStatsTable[GroupByKey]=DiscreteStatsTable[[#This Row],[GroupByKey]]),(DiscreteStatsTable[GroupByKey]=DiscreteStatsTable[[#This Row],[GroupByKey]])*DiscreteStatsTable[Average]))</f>
        <v>255.385369918316</v>
      </c>
      <c r="S2" s="3" cm="1">
        <f t="array" ref="S2">MAX(IF((DiscreteStatsTable[GroupByKey]=DiscreteStatsTable[[#This Row],[GroupByKey]]),(DiscreteStatsTable[GroupByKey]=DiscreteStatsTable[[#This Row],[GroupByKey]])*DiscreteStatsTable[Average]))</f>
        <v>255.385369918316</v>
      </c>
      <c r="T2" s="3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s="3" cm="1">
        <f t="array" ref="U2">MAX(IF((DiscreteStatsTable[GroupByKey]=DiscreteStatsTable[[#This Row],[GroupByKey]]),(DiscreteStatsTable[GroupByKey]=DiscreteStatsTable[[#This Row],[GroupByKey]])*DiscreteStatsTable[Maximum]))</f>
        <v>514.50187934141002</v>
      </c>
      <c r="V2" s="3" cm="1">
        <f t="array" ref="V2">IFERROR(AVERAGE(IF((DiscreteStatsTable[GroupByKey]=DiscreteStatsTable[[#This Row],[GroupByKey]]),(DiscreteStatsTable[GroupByKey]=DiscreteStatsTable[[#This Row],[GroupByKey]])*DiscreteStatsTable[NumberObservations])),0)</f>
        <v>349</v>
      </c>
      <c r="W2" s="3">
        <f>IF((DiscreteStatsTable[[#This Row],[RepsRequested]]&gt;1),DiscreteStatsTable[[#This Row],[HalfWidth]],DiscreteStatsTable[[#This Row],[BatchMeansHalfWidth]])</f>
        <v>3E+20</v>
      </c>
      <c r="X2" s="3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 s="3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1</v>
      </c>
      <c r="D3" t="s">
        <v>73</v>
      </c>
      <c r="E3" t="s">
        <v>74</v>
      </c>
      <c r="F3" t="s">
        <v>75</v>
      </c>
      <c r="G3">
        <v>596.63032606436002</v>
      </c>
      <c r="H3">
        <v>2E+20</v>
      </c>
      <c r="I3">
        <v>6.1703809435967401</v>
      </c>
      <c r="J3">
        <v>1475.76530512468</v>
      </c>
      <c r="K3">
        <v>300</v>
      </c>
      <c r="L3" t="str">
        <f>DiscreteStatsTable[[#This Row],[ProjectName]]&amp;DiscreteStatsTable[[#This Row],[Name]]&amp;DiscreteStatsTable[[#This Row],[Type]]&amp;DiscreteStatsTable[[#This Row],[Source]]</f>
        <v>Unnamed ProjectFlow TimeIntervalUser Specified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596.63032606436002</v>
      </c>
      <c r="O3" s="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s="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 s="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s="3" cm="1">
        <f t="array" ref="R3">MIN(IF((DiscreteStatsTable[GroupByKey]=DiscreteStatsTable[[#This Row],[GroupByKey]]),(DiscreteStatsTable[GroupByKey]=DiscreteStatsTable[[#This Row],[GroupByKey]])*DiscreteStatsTable[Average]))</f>
        <v>596.63032606436002</v>
      </c>
      <c r="S3" s="3" cm="1">
        <f t="array" ref="S3">MAX(IF((DiscreteStatsTable[GroupByKey]=DiscreteStatsTable[[#This Row],[GroupByKey]]),(DiscreteStatsTable[GroupByKey]=DiscreteStatsTable[[#This Row],[GroupByKey]])*DiscreteStatsTable[Average]))</f>
        <v>596.63032606436002</v>
      </c>
      <c r="T3" s="3" cm="1">
        <f t="array" ref="T3">MIN(IF((DiscreteStatsTable[GroupByKey]=DiscreteStatsTable[[#This Row],[GroupByKey]]),(DiscreteStatsTable[GroupByKey]=DiscreteStatsTable[[#This Row],[GroupByKey]])*DiscreteStatsTable[Minimum]))</f>
        <v>6.1703809435967401</v>
      </c>
      <c r="U3" s="3" cm="1">
        <f t="array" ref="U3">MAX(IF((DiscreteStatsTable[GroupByKey]=DiscreteStatsTable[[#This Row],[GroupByKey]]),(DiscreteStatsTable[GroupByKey]=DiscreteStatsTable[[#This Row],[GroupByKey]])*DiscreteStatsTable[Maximum]))</f>
        <v>1475.76530512468</v>
      </c>
      <c r="V3" s="3" cm="1">
        <f t="array" ref="V3">IFERROR(AVERAGE(IF((DiscreteStatsTable[GroupByKey]=DiscreteStatsTable[[#This Row],[GroupByKey]]),(DiscreteStatsTable[GroupByKey]=DiscreteStatsTable[[#This Row],[GroupByKey]])*DiscreteStatsTable[NumberObservations])),0)</f>
        <v>300</v>
      </c>
      <c r="W3" s="3">
        <f>IF((DiscreteStatsTable[[#This Row],[RepsRequested]]&gt;1),DiscreteStatsTable[[#This Row],[HalfWidth]],DiscreteStatsTable[[#This Row],[BatchMeansHalfWidth]])</f>
        <v>2E+20</v>
      </c>
      <c r="X3" s="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 s="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1</v>
      </c>
      <c r="D4" t="s">
        <v>76</v>
      </c>
      <c r="E4" t="s">
        <v>77</v>
      </c>
      <c r="F4" t="s">
        <v>78</v>
      </c>
      <c r="G4">
        <v>0</v>
      </c>
      <c r="H4">
        <v>2E+20</v>
      </c>
      <c r="I4">
        <v>0</v>
      </c>
      <c r="J4">
        <v>0</v>
      </c>
      <c r="K4">
        <v>300</v>
      </c>
      <c r="L4" t="str">
        <f>DiscreteStatsTable[[#This Row],[ProjectName]]&amp;DiscreteStatsTable[[#This Row],[Name]]&amp;DiscreteStatsTable[[#This Row],[Type]]&amp;DiscreteStatsTable[[#This Row],[Source]]</f>
        <v>Unnamed ProjectJobsNVA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s="3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s="3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 s="3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s="3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s="3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s="3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s="3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s="3" cm="1">
        <f t="array" ref="V4">IFERROR(AVERAGE(IF((DiscreteStatsTable[GroupByKey]=DiscreteStatsTable[[#This Row],[GroupByKey]]),(DiscreteStatsTable[GroupByKey]=DiscreteStatsTable[[#This Row],[GroupByKey]])*DiscreteStatsTable[NumberObservations])),0)</f>
        <v>300</v>
      </c>
      <c r="W4" s="3">
        <f>IF((DiscreteStatsTable[[#This Row],[RepsRequested]]&gt;1),DiscreteStatsTable[[#This Row],[HalfWidth]],DiscreteStatsTable[[#This Row],[BatchMeansHalfWidth]])</f>
        <v>2E+20</v>
      </c>
      <c r="X4" s="3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 s="3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1</v>
      </c>
      <c r="D5" t="s">
        <v>76</v>
      </c>
      <c r="E5" t="s">
        <v>79</v>
      </c>
      <c r="F5" t="s">
        <v>78</v>
      </c>
      <c r="G5">
        <v>0</v>
      </c>
      <c r="H5">
        <v>2E+20</v>
      </c>
      <c r="I5">
        <v>0</v>
      </c>
      <c r="J5">
        <v>0</v>
      </c>
      <c r="K5">
        <v>300</v>
      </c>
      <c r="L5" t="str">
        <f>DiscreteStatsTable[[#This Row],[ProjectName]]&amp;DiscreteStatsTable[[#This Row],[Name]]&amp;DiscreteStatsTable[[#This Row],[Type]]&amp;DiscreteStatsTable[[#This Row],[Source]]</f>
        <v>Unnamed ProjectJobsOther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s="3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s="3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 s="3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s="3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s="3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s="3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s="3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s="3" cm="1">
        <f t="array" ref="V5">IFERROR(AVERAGE(IF((DiscreteStatsTable[GroupByKey]=DiscreteStatsTable[[#This Row],[GroupByKey]]),(DiscreteStatsTable[GroupByKey]=DiscreteStatsTable[[#This Row],[GroupByKey]])*DiscreteStatsTable[NumberObservations])),0)</f>
        <v>300</v>
      </c>
      <c r="W5" s="3">
        <f>IF((DiscreteStatsTable[[#This Row],[RepsRequested]]&gt;1),DiscreteStatsTable[[#This Row],[HalfWidth]],DiscreteStatsTable[[#This Row],[BatchMeansHalfWidth]])</f>
        <v>2E+20</v>
      </c>
      <c r="X5" s="3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 s="3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1</v>
      </c>
      <c r="D6" t="s">
        <v>76</v>
      </c>
      <c r="E6" t="s">
        <v>80</v>
      </c>
      <c r="F6" t="s">
        <v>78</v>
      </c>
      <c r="G6">
        <v>596.63032606436002</v>
      </c>
      <c r="H6">
        <v>2E+20</v>
      </c>
      <c r="I6">
        <v>6.1703809435967401</v>
      </c>
      <c r="J6">
        <v>1475.76530512468</v>
      </c>
      <c r="K6">
        <v>300</v>
      </c>
      <c r="L6" s="3" t="str">
        <f>DiscreteStatsTable[[#This Row],[ProjectName]]&amp;DiscreteStatsTable[[#This Row],[Name]]&amp;DiscreteStatsTable[[#This Row],[Type]]&amp;DiscreteStatsTable[[#This Row],[Source]]</f>
        <v>Unnamed ProjectJobsTotal TimeEntity</v>
      </c>
      <c r="M6" s="3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s="3" cm="1">
        <f t="array" ref="N6">IFERROR(AVERAGE(IF((DiscreteStatsTable[GroupByKey]=DiscreteStatsTable[[#This Row],[GroupByKey]]),(DiscreteStatsTable[GroupByKey]=DiscreteStatsTable[[#This Row],[GroupByKey]])*DiscreteStatsTable[Average])),0)</f>
        <v>596.63032606436002</v>
      </c>
      <c r="O6" s="3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s="3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 s="3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s="3" cm="1">
        <f t="array" ref="R6">MIN(IF((DiscreteStatsTable[GroupByKey]=DiscreteStatsTable[[#This Row],[GroupByKey]]),(DiscreteStatsTable[GroupByKey]=DiscreteStatsTable[[#This Row],[GroupByKey]])*DiscreteStatsTable[Average]))</f>
        <v>596.63032606436002</v>
      </c>
      <c r="S6" s="3" cm="1">
        <f t="array" ref="S6">MAX(IF((DiscreteStatsTable[GroupByKey]=DiscreteStatsTable[[#This Row],[GroupByKey]]),(DiscreteStatsTable[GroupByKey]=DiscreteStatsTable[[#This Row],[GroupByKey]])*DiscreteStatsTable[Average]))</f>
        <v>596.63032606436002</v>
      </c>
      <c r="T6" s="3" cm="1">
        <f t="array" ref="T6">MIN(IF((DiscreteStatsTable[GroupByKey]=DiscreteStatsTable[[#This Row],[GroupByKey]]),(DiscreteStatsTable[GroupByKey]=DiscreteStatsTable[[#This Row],[GroupByKey]])*DiscreteStatsTable[Minimum]))</f>
        <v>6.1703809435967401</v>
      </c>
      <c r="U6" s="3" cm="1">
        <f t="array" ref="U6">MAX(IF((DiscreteStatsTable[GroupByKey]=DiscreteStatsTable[[#This Row],[GroupByKey]]),(DiscreteStatsTable[GroupByKey]=DiscreteStatsTable[[#This Row],[GroupByKey]])*DiscreteStatsTable[Maximum]))</f>
        <v>1475.76530512468</v>
      </c>
      <c r="V6" s="3" cm="1">
        <f t="array" ref="V6">IFERROR(AVERAGE(IF((DiscreteStatsTable[GroupByKey]=DiscreteStatsTable[[#This Row],[GroupByKey]]),(DiscreteStatsTable[GroupByKey]=DiscreteStatsTable[[#This Row],[GroupByKey]])*DiscreteStatsTable[NumberObservations])),0)</f>
        <v>300</v>
      </c>
      <c r="W6" s="3">
        <f>IF((DiscreteStatsTable[[#This Row],[RepsRequested]]&gt;1),DiscreteStatsTable[[#This Row],[HalfWidth]],DiscreteStatsTable[[#This Row],[BatchMeansHalfWidth]])</f>
        <v>2E+20</v>
      </c>
      <c r="X6" s="3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 s="3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1</v>
      </c>
      <c r="D7" t="s">
        <v>76</v>
      </c>
      <c r="E7" t="s">
        <v>81</v>
      </c>
      <c r="F7" t="s">
        <v>78</v>
      </c>
      <c r="G7">
        <v>0</v>
      </c>
      <c r="H7">
        <v>2E+20</v>
      </c>
      <c r="I7">
        <v>0</v>
      </c>
      <c r="J7">
        <v>0</v>
      </c>
      <c r="K7">
        <v>300</v>
      </c>
      <c r="L7" s="3" t="str">
        <f>DiscreteStatsTable[[#This Row],[ProjectName]]&amp;DiscreteStatsTable[[#This Row],[Name]]&amp;DiscreteStatsTable[[#This Row],[Type]]&amp;DiscreteStatsTable[[#This Row],[Source]]</f>
        <v>Unnamed ProjectJobsTransfer TimeEntity</v>
      </c>
      <c r="M7" s="3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s="3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s="3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s="3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 s="3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s="3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s="3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s="3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s="3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s="3" cm="1">
        <f t="array" ref="V7">IFERROR(AVERAGE(IF((DiscreteStatsTable[GroupByKey]=DiscreteStatsTable[[#This Row],[GroupByKey]]),(DiscreteStatsTable[GroupByKey]=DiscreteStatsTable[[#This Row],[GroupByKey]])*DiscreteStatsTable[NumberObservations])),0)</f>
        <v>300</v>
      </c>
      <c r="W7" s="3">
        <f>IF((DiscreteStatsTable[[#This Row],[RepsRequested]]&gt;1),DiscreteStatsTable[[#This Row],[HalfWidth]],DiscreteStatsTable[[#This Row],[BatchMeansHalfWidth]])</f>
        <v>2E+20</v>
      </c>
      <c r="X7" s="3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 s="3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1</v>
      </c>
      <c r="D8" t="s">
        <v>76</v>
      </c>
      <c r="E8" t="s">
        <v>82</v>
      </c>
      <c r="F8" t="s">
        <v>78</v>
      </c>
      <c r="G8">
        <v>7.6692176837489203</v>
      </c>
      <c r="H8">
        <v>2E+20</v>
      </c>
      <c r="I8">
        <v>5.0139435201217903</v>
      </c>
      <c r="J8">
        <v>20.8246941704679</v>
      </c>
      <c r="K8">
        <v>300</v>
      </c>
      <c r="L8" s="3" t="str">
        <f>DiscreteStatsTable[[#This Row],[ProjectName]]&amp;DiscreteStatsTable[[#This Row],[Name]]&amp;DiscreteStatsTable[[#This Row],[Type]]&amp;DiscreteStatsTable[[#This Row],[Source]]</f>
        <v>Unnamed ProjectJobsVA TimeEntity</v>
      </c>
      <c r="M8" s="3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s="3" cm="1">
        <f t="array" ref="N8">IFERROR(AVERAGE(IF((DiscreteStatsTable[GroupByKey]=DiscreteStatsTable[[#This Row],[GroupByKey]]),(DiscreteStatsTable[GroupByKey]=DiscreteStatsTable[[#This Row],[GroupByKey]])*DiscreteStatsTable[Average])),0)</f>
        <v>7.6692176837489203</v>
      </c>
      <c r="O8" s="3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s="3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 s="3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s="3" cm="1">
        <f t="array" ref="R8">MIN(IF((DiscreteStatsTable[GroupByKey]=DiscreteStatsTable[[#This Row],[GroupByKey]]),(DiscreteStatsTable[GroupByKey]=DiscreteStatsTable[[#This Row],[GroupByKey]])*DiscreteStatsTable[Average]))</f>
        <v>7.6692176837489203</v>
      </c>
      <c r="S8" s="3" cm="1">
        <f t="array" ref="S8">MAX(IF((DiscreteStatsTable[GroupByKey]=DiscreteStatsTable[[#This Row],[GroupByKey]]),(DiscreteStatsTable[GroupByKey]=DiscreteStatsTable[[#This Row],[GroupByKey]])*DiscreteStatsTable[Average]))</f>
        <v>7.6692176837489203</v>
      </c>
      <c r="T8" s="3" cm="1">
        <f t="array" ref="T8">MIN(IF((DiscreteStatsTable[GroupByKey]=DiscreteStatsTable[[#This Row],[GroupByKey]]),(DiscreteStatsTable[GroupByKey]=DiscreteStatsTable[[#This Row],[GroupByKey]])*DiscreteStatsTable[Minimum]))</f>
        <v>5.0139435201217903</v>
      </c>
      <c r="U8" s="3" cm="1">
        <f t="array" ref="U8">MAX(IF((DiscreteStatsTable[GroupByKey]=DiscreteStatsTable[[#This Row],[GroupByKey]]),(DiscreteStatsTable[GroupByKey]=DiscreteStatsTable[[#This Row],[GroupByKey]])*DiscreteStatsTable[Maximum]))</f>
        <v>20.8246941704679</v>
      </c>
      <c r="V8" s="3" cm="1">
        <f t="array" ref="V8">IFERROR(AVERAGE(IF((DiscreteStatsTable[GroupByKey]=DiscreteStatsTable[[#This Row],[GroupByKey]]),(DiscreteStatsTable[GroupByKey]=DiscreteStatsTable[[#This Row],[GroupByKey]])*DiscreteStatsTable[NumberObservations])),0)</f>
        <v>300</v>
      </c>
      <c r="W8" s="3">
        <f>IF((DiscreteStatsTable[[#This Row],[RepsRequested]]&gt;1),DiscreteStatsTable[[#This Row],[HalfWidth]],DiscreteStatsTable[[#This Row],[BatchMeansHalfWidth]])</f>
        <v>2E+20</v>
      </c>
      <c r="X8" s="3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 s="3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69</v>
      </c>
      <c r="C9">
        <v>1</v>
      </c>
      <c r="D9" t="s">
        <v>76</v>
      </c>
      <c r="E9" t="s">
        <v>83</v>
      </c>
      <c r="F9" t="s">
        <v>78</v>
      </c>
      <c r="G9">
        <v>588.96110838061202</v>
      </c>
      <c r="H9">
        <v>2E+20</v>
      </c>
      <c r="I9">
        <v>0</v>
      </c>
      <c r="J9">
        <v>1454.9406109542099</v>
      </c>
      <c r="K9">
        <v>300</v>
      </c>
      <c r="L9" s="3" t="str">
        <f>DiscreteStatsTable[[#This Row],[ProjectName]]&amp;DiscreteStatsTable[[#This Row],[Name]]&amp;DiscreteStatsTable[[#This Row],[Type]]&amp;DiscreteStatsTable[[#This Row],[Source]]</f>
        <v>Unnamed ProjectJobsWait TimeEntity</v>
      </c>
      <c r="M9" s="3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s="3" cm="1">
        <f t="array" ref="N9">IFERROR(AVERAGE(IF((DiscreteStatsTable[GroupByKey]=DiscreteStatsTable[[#This Row],[GroupByKey]]),(DiscreteStatsTable[GroupByKey]=DiscreteStatsTable[[#This Row],[GroupByKey]])*DiscreteStatsTable[Average])),0)</f>
        <v>588.96110838061202</v>
      </c>
      <c r="O9" s="3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s="3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 s="3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s="3" cm="1">
        <f t="array" ref="R9">MIN(IF((DiscreteStatsTable[GroupByKey]=DiscreteStatsTable[[#This Row],[GroupByKey]]),(DiscreteStatsTable[GroupByKey]=DiscreteStatsTable[[#This Row],[GroupByKey]])*DiscreteStatsTable[Average]))</f>
        <v>588.96110838061202</v>
      </c>
      <c r="S9" s="3" cm="1">
        <f t="array" ref="S9">MAX(IF((DiscreteStatsTable[GroupByKey]=DiscreteStatsTable[[#This Row],[GroupByKey]]),(DiscreteStatsTable[GroupByKey]=DiscreteStatsTable[[#This Row],[GroupByKey]])*DiscreteStatsTable[Average]))</f>
        <v>588.96110838061202</v>
      </c>
      <c r="T9" s="3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s="3" cm="1">
        <f t="array" ref="U9">MAX(IF((DiscreteStatsTable[GroupByKey]=DiscreteStatsTable[[#This Row],[GroupByKey]]),(DiscreteStatsTable[GroupByKey]=DiscreteStatsTable[[#This Row],[GroupByKey]])*DiscreteStatsTable[Maximum]))</f>
        <v>1454.9406109542099</v>
      </c>
      <c r="V9" s="3" cm="1">
        <f t="array" ref="V9">IFERROR(AVERAGE(IF((DiscreteStatsTable[GroupByKey]=DiscreteStatsTable[[#This Row],[GroupByKey]]),(DiscreteStatsTable[GroupByKey]=DiscreteStatsTable[[#This Row],[GroupByKey]])*DiscreteStatsTable[NumberObservations])),0)</f>
        <v>300</v>
      </c>
      <c r="W9" s="3">
        <f>IF((DiscreteStatsTable[[#This Row],[RepsRequested]]&gt;1),DiscreteStatsTable[[#This Row],[HalfWidth]],DiscreteStatsTable[[#This Row],[BatchMeansHalfWidth]])</f>
        <v>2E+20</v>
      </c>
      <c r="X9" s="3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 s="3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69</v>
      </c>
      <c r="C10">
        <v>1</v>
      </c>
      <c r="D10" t="s">
        <v>84</v>
      </c>
      <c r="E10" t="s">
        <v>71</v>
      </c>
      <c r="F10" t="s">
        <v>72</v>
      </c>
      <c r="G10">
        <v>291.86279470897102</v>
      </c>
      <c r="H10">
        <v>2E+20</v>
      </c>
      <c r="I10">
        <v>0</v>
      </c>
      <c r="J10">
        <v>518.28426645053798</v>
      </c>
      <c r="K10">
        <v>300</v>
      </c>
      <c r="L10" s="3" t="str">
        <f>DiscreteStatsTable[[#This Row],[ProjectName]]&amp;DiscreteStatsTable[[#This Row],[Name]]&amp;DiscreteStatsTable[[#This Row],[Type]]&amp;DiscreteStatsTable[[#This Row],[Source]]</f>
        <v>Unnamed ProjectPainting.QueueWaiting TimeQueue</v>
      </c>
      <c r="M10" s="3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s="3" cm="1">
        <f t="array" ref="N10">IFERROR(AVERAGE(IF((DiscreteStatsTable[GroupByKey]=DiscreteStatsTable[[#This Row],[GroupByKey]]),(DiscreteStatsTable[GroupByKey]=DiscreteStatsTable[[#This Row],[GroupByKey]])*DiscreteStatsTable[Average])),0)</f>
        <v>291.86279470897102</v>
      </c>
      <c r="O10" s="3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s="3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 s="3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s="3" cm="1">
        <f t="array" ref="R10">MIN(IF((DiscreteStatsTable[GroupByKey]=DiscreteStatsTable[[#This Row],[GroupByKey]]),(DiscreteStatsTable[GroupByKey]=DiscreteStatsTable[[#This Row],[GroupByKey]])*DiscreteStatsTable[Average]))</f>
        <v>291.86279470897102</v>
      </c>
      <c r="S10" s="3" cm="1">
        <f t="array" ref="S10">MAX(IF((DiscreteStatsTable[GroupByKey]=DiscreteStatsTable[[#This Row],[GroupByKey]]),(DiscreteStatsTable[GroupByKey]=DiscreteStatsTable[[#This Row],[GroupByKey]])*DiscreteStatsTable[Average]))</f>
        <v>291.86279470897102</v>
      </c>
      <c r="T10" s="3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s="3" cm="1">
        <f t="array" ref="U10">MAX(IF((DiscreteStatsTable[GroupByKey]=DiscreteStatsTable[[#This Row],[GroupByKey]]),(DiscreteStatsTable[GroupByKey]=DiscreteStatsTable[[#This Row],[GroupByKey]])*DiscreteStatsTable[Maximum]))</f>
        <v>518.28426645053798</v>
      </c>
      <c r="V10" s="3" cm="1">
        <f t="array" ref="V10">IFERROR(AVERAGE(IF((DiscreteStatsTable[GroupByKey]=DiscreteStatsTable[[#This Row],[GroupByKey]]),(DiscreteStatsTable[GroupByKey]=DiscreteStatsTable[[#This Row],[GroupByKey]])*DiscreteStatsTable[NumberObservations])),0)</f>
        <v>300</v>
      </c>
      <c r="W10" s="3">
        <f>IF((DiscreteStatsTable[[#This Row],[RepsRequested]]&gt;1),DiscreteStatsTable[[#This Row],[HalfWidth]],DiscreteStatsTable[[#This Row],[BatchMeansHalfWidth]])</f>
        <v>2E+20</v>
      </c>
      <c r="X10" s="3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 s="3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69</v>
      </c>
      <c r="C11">
        <v>1</v>
      </c>
      <c r="D11" t="s">
        <v>85</v>
      </c>
      <c r="E11" t="s">
        <v>86</v>
      </c>
      <c r="F11" t="s">
        <v>75</v>
      </c>
      <c r="G11">
        <v>0.163333333333333</v>
      </c>
      <c r="H11">
        <v>2E+20</v>
      </c>
      <c r="I11">
        <v>0</v>
      </c>
      <c r="J11">
        <v>4</v>
      </c>
      <c r="K11">
        <v>300</v>
      </c>
      <c r="L11" s="3" t="str">
        <f>DiscreteStatsTable[[#This Row],[ProjectName]]&amp;DiscreteStatsTable[[#This Row],[Name]]&amp;DiscreteStatsTable[[#This Row],[Type]]&amp;DiscreteStatsTable[[#This Row],[Source]]</f>
        <v>Unnamed ProjectReworks per JobExpressionUser Specified</v>
      </c>
      <c r="M11" s="3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s="3" cm="1">
        <f t="array" ref="N11">IFERROR(AVERAGE(IF((DiscreteStatsTable[GroupByKey]=DiscreteStatsTable[[#This Row],[GroupByKey]]),(DiscreteStatsTable[GroupByKey]=DiscreteStatsTable[[#This Row],[GroupByKey]])*DiscreteStatsTable[Average])),0)</f>
        <v>0.163333333333333</v>
      </c>
      <c r="O11" s="3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s="3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 s="3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s="3" cm="1">
        <f t="array" ref="R11">MIN(IF((DiscreteStatsTable[GroupByKey]=DiscreteStatsTable[[#This Row],[GroupByKey]]),(DiscreteStatsTable[GroupByKey]=DiscreteStatsTable[[#This Row],[GroupByKey]])*DiscreteStatsTable[Average]))</f>
        <v>0.163333333333333</v>
      </c>
      <c r="S11" s="3" cm="1">
        <f t="array" ref="S11">MAX(IF((DiscreteStatsTable[GroupByKey]=DiscreteStatsTable[[#This Row],[GroupByKey]]),(DiscreteStatsTable[GroupByKey]=DiscreteStatsTable[[#This Row],[GroupByKey]])*DiscreteStatsTable[Average]))</f>
        <v>0.163333333333333</v>
      </c>
      <c r="T11" s="3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s="3" cm="1">
        <f t="array" ref="U11">MAX(IF((DiscreteStatsTable[GroupByKey]=DiscreteStatsTable[[#This Row],[GroupByKey]]),(DiscreteStatsTable[GroupByKey]=DiscreteStatsTable[[#This Row],[GroupByKey]])*DiscreteStatsTable[Maximum]))</f>
        <v>4</v>
      </c>
      <c r="V11" s="3" cm="1">
        <f t="array" ref="V11">IFERROR(AVERAGE(IF((DiscreteStatsTable[GroupByKey]=DiscreteStatsTable[[#This Row],[GroupByKey]]),(DiscreteStatsTable[GroupByKey]=DiscreteStatsTable[[#This Row],[GroupByKey]])*DiscreteStatsTable[NumberObservations])),0)</f>
        <v>300</v>
      </c>
      <c r="W11" s="3">
        <f>IF((DiscreteStatsTable[[#This Row],[RepsRequested]]&gt;1),DiscreteStatsTable[[#This Row],[HalfWidth]],DiscreteStatsTable[[#This Row],[BatchMeansHalfWidth]])</f>
        <v>2E+20</v>
      </c>
      <c r="X11" s="3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 s="3">
        <f>IF(DiscreteStatsTable[[#This Row],[RepsRequested]]=DiscreteStatsTable[[#This Row],[RepsWithStatObserved]],1,0)</f>
        <v>1</v>
      </c>
    </row>
  </sheetData>
  <phoneticPr fontId="2" type="noConversion"/>
  <conditionalFormatting sqref="H2:H11 Q2:Q11">
    <cfRule type="expression" dxfId="24" priority="23">
      <formula>H2=200000000000000000000</formula>
    </cfRule>
  </conditionalFormatting>
  <conditionalFormatting sqref="H2:H11">
    <cfRule type="expression" dxfId="23" priority="21">
      <formula>H2=300000000000000000000</formula>
    </cfRule>
  </conditionalFormatting>
  <conditionalFormatting sqref="L2:Y11">
    <cfRule type="expression" dxfId="22" priority="19">
      <formula>MOD(ROW(),2)=0</formula>
    </cfRule>
  </conditionalFormatting>
  <conditionalFormatting sqref="Y2:Y11">
    <cfRule type="expression" dxfId="21" priority="14">
      <formula>Y2=0</formula>
    </cfRule>
    <cfRule type="expression" dxfId="20" priority="16">
      <formula>Y2=1</formula>
    </cfRule>
  </conditionalFormatting>
  <conditionalFormatting sqref="Y3:Y11">
    <cfRule type="expression" dxfId="19" priority="15">
      <formula>Y3=1</formula>
    </cfRule>
  </conditionalFormatting>
  <conditionalFormatting sqref="W2:W11">
    <cfRule type="expression" dxfId="18" priority="6">
      <formula>W2=300000000000000000000</formula>
    </cfRule>
    <cfRule type="expression" dxfId="17" priority="7">
      <formula>W2=200000000000000000000</formula>
    </cfRule>
  </conditionalFormatting>
  <conditionalFormatting sqref="Q2:Q11 W2:W11">
    <cfRule type="expression" dxfId="16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7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6.285156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7.57031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87</v>
      </c>
      <c r="E2" t="s">
        <v>88</v>
      </c>
      <c r="F2" t="s">
        <v>89</v>
      </c>
      <c r="G2">
        <v>0.95865221046861504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0.95865221046861504</v>
      </c>
      <c r="P2" s="3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s="3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s="3" cm="1">
        <f t="array" ref="S2">MIN(IF((ContinuousStatsTable[GroupByKey]=ContinuousStatsTable[[#This Row],[GroupByKey]]),(ContinuousStatsTable[GroupByKey]=ContinuousStatsTable[[#This Row],[GroupByKey]])*ContinuousStatsTable[Average]))</f>
        <v>0.95865221046861504</v>
      </c>
      <c r="T2" s="3" cm="1">
        <f t="array" ref="T2">MAX(IF((ContinuousStatsTable[GroupByKey]=ContinuousStatsTable[[#This Row],[GroupByKey]]),(ContinuousStatsTable[GroupByKey]=ContinuousStatsTable[[#This Row],[GroupByKey]])*ContinuousStatsTable[Average]))</f>
        <v>0.95865221046861504</v>
      </c>
      <c r="U2" s="3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69</v>
      </c>
      <c r="C3">
        <v>1</v>
      </c>
      <c r="D3" t="s">
        <v>87</v>
      </c>
      <c r="E3" t="s">
        <v>90</v>
      </c>
      <c r="F3" t="s">
        <v>89</v>
      </c>
      <c r="G3">
        <v>0.95865221046861504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0.95865221046861504</v>
      </c>
      <c r="P3" s="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s="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s="3" cm="1">
        <f t="array" ref="S3">MIN(IF((ContinuousStatsTable[GroupByKey]=ContinuousStatsTable[[#This Row],[GroupByKey]]),(ContinuousStatsTable[GroupByKey]=ContinuousStatsTable[[#This Row],[GroupByKey]])*ContinuousStatsTable[Average]))</f>
        <v>0.95865221046861504</v>
      </c>
      <c r="T3" s="3" cm="1">
        <f t="array" ref="T3">MAX(IF((ContinuousStatsTable[GroupByKey]=ContinuousStatsTable[[#This Row],[GroupByKey]]),(ContinuousStatsTable[GroupByKey]=ContinuousStatsTable[[#This Row],[GroupByKey]])*ContinuousStatsTable[Average]))</f>
        <v>0.95865221046861504</v>
      </c>
      <c r="U3" s="3">
        <f>IF((ContinuousStatsTable[[#This Row],[RepsRequested]]&gt;1),ContinuousStatsTable[[#This Row],[HalfWidth]],ContinuousStatsTable[[#This Row],[BatchMeansHalfWidth]])</f>
        <v>2E+20</v>
      </c>
    </row>
    <row r="4" spans="1:21" x14ac:dyDescent="0.25">
      <c r="A4" t="s">
        <v>67</v>
      </c>
      <c r="B4" t="s">
        <v>69</v>
      </c>
      <c r="C4">
        <v>1</v>
      </c>
      <c r="D4" t="s">
        <v>87</v>
      </c>
      <c r="E4" t="s">
        <v>91</v>
      </c>
      <c r="F4" t="s">
        <v>89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s="3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s="3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s="3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s="3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 s="3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69</v>
      </c>
      <c r="C5">
        <v>1</v>
      </c>
      <c r="D5" t="s">
        <v>70</v>
      </c>
      <c r="E5" t="s">
        <v>92</v>
      </c>
      <c r="F5" t="s">
        <v>72</v>
      </c>
      <c r="G5">
        <v>37.137289208955202</v>
      </c>
      <c r="H5">
        <v>3E+20</v>
      </c>
      <c r="I5">
        <v>0</v>
      </c>
      <c r="J5">
        <v>81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ProjectAssembly.QueueNumber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37.137289208955202</v>
      </c>
      <c r="P5" s="3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s="3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s="3" cm="1">
        <f t="array" ref="S5">MIN(IF((ContinuousStatsTable[GroupByKey]=ContinuousStatsTable[[#This Row],[GroupByKey]]),(ContinuousStatsTable[GroupByKey]=ContinuousStatsTable[[#This Row],[GroupByKey]])*ContinuousStatsTable[Average]))</f>
        <v>37.137289208955202</v>
      </c>
      <c r="T5" s="3" cm="1">
        <f t="array" ref="T5">MAX(IF((ContinuousStatsTable[GroupByKey]=ContinuousStatsTable[[#This Row],[GroupByKey]]),(ContinuousStatsTable[GroupByKey]=ContinuousStatsTable[[#This Row],[GroupByKey]])*ContinuousStatsTable[Average]))</f>
        <v>37.137289208955202</v>
      </c>
      <c r="U5" s="3">
        <f>IF((ContinuousStatsTable[[#This Row],[RepsRequested]]&gt;1),ContinuousStatsTable[[#This Row],[HalfWidth]],ContinuousStatsTable[[#This Row],[BatchMeansHalfWidth]])</f>
        <v>3E+20</v>
      </c>
    </row>
    <row r="6" spans="1:21" x14ac:dyDescent="0.25">
      <c r="A6" t="s">
        <v>67</v>
      </c>
      <c r="B6" t="s">
        <v>69</v>
      </c>
      <c r="C6">
        <v>1</v>
      </c>
      <c r="D6" t="s">
        <v>76</v>
      </c>
      <c r="E6" t="s">
        <v>93</v>
      </c>
      <c r="F6" t="s">
        <v>78</v>
      </c>
      <c r="G6">
        <v>74.578790758045102</v>
      </c>
      <c r="H6">
        <v>3E+20</v>
      </c>
      <c r="I6">
        <v>0</v>
      </c>
      <c r="J6">
        <v>143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ProjectJobsWIPEntity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74.578790758045102</v>
      </c>
      <c r="P6" s="3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s="3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s="3" cm="1">
        <f t="array" ref="S6">MIN(IF((ContinuousStatsTable[GroupByKey]=ContinuousStatsTable[[#This Row],[GroupByKey]]),(ContinuousStatsTable[GroupByKey]=ContinuousStatsTable[[#This Row],[GroupByKey]])*ContinuousStatsTable[Average]))</f>
        <v>74.578790758045102</v>
      </c>
      <c r="T6" s="3" cm="1">
        <f t="array" ref="T6">MAX(IF((ContinuousStatsTable[GroupByKey]=ContinuousStatsTable[[#This Row],[GroupByKey]]),(ContinuousStatsTable[GroupByKey]=ContinuousStatsTable[[#This Row],[GroupByKey]])*ContinuousStatsTable[Average]))</f>
        <v>74.578790758045102</v>
      </c>
      <c r="U6" s="3">
        <f>IF((ContinuousStatsTable[[#This Row],[RepsRequested]]&gt;1),ContinuousStatsTable[[#This Row],[HalfWidth]],ContinuousStatsTable[[#This Row],[BatchMeansHalfWidth]])</f>
        <v>3E+20</v>
      </c>
    </row>
    <row r="7" spans="1:21" x14ac:dyDescent="0.25">
      <c r="A7" t="s">
        <v>67</v>
      </c>
      <c r="B7" t="s">
        <v>69</v>
      </c>
      <c r="C7">
        <v>1</v>
      </c>
      <c r="D7" t="s">
        <v>84</v>
      </c>
      <c r="E7" t="s">
        <v>92</v>
      </c>
      <c r="F7" t="s">
        <v>72</v>
      </c>
      <c r="G7">
        <v>36.4828493386213</v>
      </c>
      <c r="H7">
        <v>2E+20</v>
      </c>
      <c r="I7">
        <v>0</v>
      </c>
      <c r="J7">
        <v>74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ProjectPainting.QueueNumber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36.4828493386213</v>
      </c>
      <c r="P7" s="3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s="3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s="3" cm="1">
        <f t="array" ref="S7">MIN(IF((ContinuousStatsTable[GroupByKey]=ContinuousStatsTable[[#This Row],[GroupByKey]]),(ContinuousStatsTable[GroupByKey]=ContinuousStatsTable[[#This Row],[GroupByKey]])*ContinuousStatsTable[Average]))</f>
        <v>36.4828493386213</v>
      </c>
      <c r="T7" s="3" cm="1">
        <f t="array" ref="T7">MAX(IF((ContinuousStatsTable[GroupByKey]=ContinuousStatsTable[[#This Row],[GroupByKey]]),(ContinuousStatsTable[GroupByKey]=ContinuousStatsTable[[#This Row],[GroupByKey]])*ContinuousStatsTable[Average]))</f>
        <v>36.4828493386213</v>
      </c>
      <c r="U7" s="3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7">
    <cfRule type="expression" dxfId="15" priority="9">
      <formula>H2=200000000000000000000</formula>
    </cfRule>
  </conditionalFormatting>
  <conditionalFormatting sqref="H2:H7">
    <cfRule type="expression" dxfId="14" priority="7">
      <formula>H2=300000000000000000000</formula>
    </cfRule>
  </conditionalFormatting>
  <conditionalFormatting sqref="M2:U7">
    <cfRule type="expression" dxfId="13" priority="5">
      <formula>MOD(ROW(),2)=0</formula>
    </cfRule>
  </conditionalFormatting>
  <conditionalFormatting sqref="U2:U7">
    <cfRule type="expression" dxfId="12" priority="3">
      <formula>U2=200000000000000000000</formula>
    </cfRule>
    <cfRule type="expression" dxfId="11" priority="4">
      <formula>U2=300000000000000000000</formula>
    </cfRule>
  </conditionalFormatting>
  <conditionalFormatting sqref="R2:R7 U2:U7">
    <cfRule type="expression" dxfId="10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K2" s="3"/>
      <c r="L2" s="3"/>
      <c r="M2" s="3"/>
      <c r="N2" s="3"/>
      <c r="O2" s="3"/>
    </row>
  </sheetData>
  <phoneticPr fontId="2" type="noConversion"/>
  <conditionalFormatting sqref="H2:O2">
    <cfRule type="expression" dxfId="9" priority="2">
      <formula>MOD(ROW(),2)=0</formula>
    </cfRule>
  </conditionalFormatting>
  <conditionalFormatting sqref="M2">
    <cfRule type="expression" dxfId="8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H2" sqref="H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0.140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3.85546875" bestFit="1" customWidth="1"/>
    <col min="10" max="10" width="17.28515625" bestFit="1" customWidth="1"/>
    <col min="11" max="11" width="11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94</v>
      </c>
      <c r="E2" t="s">
        <v>95</v>
      </c>
      <c r="F2" t="s">
        <v>89</v>
      </c>
      <c r="G2">
        <v>649</v>
      </c>
      <c r="H2">
        <v>0</v>
      </c>
      <c r="I2" t="str">
        <f>OutputTable[[#This Row],[ProjectName]]&amp;OutputTable[[#This Row],[Name]]&amp;OutputTable[[#This Row],[Type]]&amp;OutputTable[[#This Row],[Source]]</f>
        <v>Unnamed ProjectAssembler.NumberSeizedTotal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649</v>
      </c>
      <c r="L2" s="3" cm="1">
        <f t="array" ref="L2">IFERROR(_xlfn.STDEV.S(IF((OutputTable[GroupByKey]=OutputTable[[#This Row],[GroupByKey]]),(OutputTable[GroupByKey]=OutputTable[[#This Row],[GroupByKey]])*OutputTable[RecordedValue])),0)</f>
        <v>0</v>
      </c>
      <c r="M2" s="3" cm="1">
        <f t="array" ref="M2">MAX(IF((ProjectInfoTable[ProjectName]=OutputTable[[#This Row],[ProjectName]]),(ProjectInfoTable[ProjectName]=OutputTable[[#This Row],[ProjectName]])*ProjectInfoTable[ConfidenceInterval]))</f>
        <v>0.95</v>
      </c>
      <c r="N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s="3" cm="1">
        <f t="array" ref="O2">MIN(IF((OutputTable[GroupByKey]=OutputTable[[#This Row],[GroupByKey]]),(OutputTable[GroupByKey]=OutputTable[[#This Row],[GroupByKey]])*OutputTable[RecordedValue]))</f>
        <v>649</v>
      </c>
      <c r="P2" s="3" cm="1">
        <f t="array" ref="P2">MAX(IF((OutputTable[GroupByKey]=OutputTable[[#This Row],[GroupByKey]]),(OutputTable[GroupByKey]=OutputTable[[#This Row],[GroupByKey]])*OutputTable[RecordedValue]))</f>
        <v>649</v>
      </c>
    </row>
    <row r="3" spans="1:16" x14ac:dyDescent="0.25">
      <c r="A3" t="s">
        <v>67</v>
      </c>
      <c r="B3" t="s">
        <v>69</v>
      </c>
      <c r="C3">
        <v>1</v>
      </c>
      <c r="D3" t="s">
        <v>96</v>
      </c>
      <c r="E3" t="s">
        <v>97</v>
      </c>
      <c r="F3" t="s">
        <v>89</v>
      </c>
      <c r="G3">
        <v>0.95865221046861504</v>
      </c>
      <c r="H3">
        <v>0</v>
      </c>
      <c r="I3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0.95865221046861504</v>
      </c>
      <c r="L3" s="3" cm="1">
        <f t="array" ref="L3">IFERROR(_xlfn.STDEV.S(IF((OutputTable[GroupByKey]=OutputTable[[#This Row],[GroupByKey]]),(OutputTable[GroupByKey]=OutputTable[[#This Row],[GroupByKey]])*OutputTable[RecordedValue])),0)</f>
        <v>0</v>
      </c>
      <c r="M3" s="3" cm="1">
        <f t="array" ref="M3">MAX(IF((ProjectInfoTable[ProjectName]=OutputTable[[#This Row],[ProjectName]]),(ProjectInfoTable[ProjectName]=OutputTable[[#This Row],[ProjectName]])*ProjectInfoTable[ConfidenceInterval]))</f>
        <v>0.95</v>
      </c>
      <c r="N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s="3" cm="1">
        <f t="array" ref="O3">MIN(IF((OutputTable[GroupByKey]=OutputTable[[#This Row],[GroupByKey]]),(OutputTable[GroupByKey]=OutputTable[[#This Row],[GroupByKey]])*OutputTable[RecordedValue]))</f>
        <v>0.95865221046861504</v>
      </c>
      <c r="P3" s="3" cm="1">
        <f t="array" ref="P3">MAX(IF((OutputTable[GroupByKey]=OutputTable[[#This Row],[GroupByKey]]),(OutputTable[GroupByKey]=OutputTable[[#This Row],[GroupByKey]])*OutputTable[RecordedValue]))</f>
        <v>0.95865221046861504</v>
      </c>
    </row>
    <row r="4" spans="1:16" x14ac:dyDescent="0.25">
      <c r="A4" t="s">
        <v>67</v>
      </c>
      <c r="B4" t="s">
        <v>69</v>
      </c>
      <c r="C4">
        <v>1</v>
      </c>
      <c r="D4" t="s">
        <v>98</v>
      </c>
      <c r="E4" t="s">
        <v>99</v>
      </c>
      <c r="F4" t="s">
        <v>78</v>
      </c>
      <c r="G4">
        <v>300</v>
      </c>
      <c r="H4">
        <v>0</v>
      </c>
      <c r="I4" t="str">
        <f>OutputTable[[#This Row],[ProjectName]]&amp;OutputTable[[#This Row],[Name]]&amp;OutputTable[[#This Row],[Type]]&amp;OutputTable[[#This Row],[Source]]</f>
        <v>Unnamed ProjectJobs.NumberInNumber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300</v>
      </c>
      <c r="L4" s="3" cm="1">
        <f t="array" ref="L4">IFERROR(_xlfn.STDEV.S(IF((OutputTable[GroupByKey]=OutputTable[[#This Row],[GroupByKey]]),(OutputTable[GroupByKey]=OutputTable[[#This Row],[GroupByKey]])*OutputTable[RecordedValue])),0)</f>
        <v>0</v>
      </c>
      <c r="M4" s="3" cm="1">
        <f t="array" ref="M4">MAX(IF((ProjectInfoTable[ProjectName]=OutputTable[[#This Row],[ProjectName]]),(ProjectInfoTable[ProjectName]=OutputTable[[#This Row],[ProjectName]])*ProjectInfoTable[ConfidenceInterval]))</f>
        <v>0.95</v>
      </c>
      <c r="N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s="3" cm="1">
        <f t="array" ref="O4">MIN(IF((OutputTable[GroupByKey]=OutputTable[[#This Row],[GroupByKey]]),(OutputTable[GroupByKey]=OutputTable[[#This Row],[GroupByKey]])*OutputTable[RecordedValue]))</f>
        <v>300</v>
      </c>
      <c r="P4" s="3" cm="1">
        <f t="array" ref="P4">MAX(IF((OutputTable[GroupByKey]=OutputTable[[#This Row],[GroupByKey]]),(OutputTable[GroupByKey]=OutputTable[[#This Row],[GroupByKey]])*OutputTable[RecordedValue]))</f>
        <v>300</v>
      </c>
    </row>
    <row r="5" spans="1:16" x14ac:dyDescent="0.25">
      <c r="A5" t="s">
        <v>67</v>
      </c>
      <c r="B5" t="s">
        <v>69</v>
      </c>
      <c r="C5">
        <v>1</v>
      </c>
      <c r="D5" t="s">
        <v>100</v>
      </c>
      <c r="E5" t="s">
        <v>101</v>
      </c>
      <c r="F5" t="s">
        <v>78</v>
      </c>
      <c r="G5">
        <v>300</v>
      </c>
      <c r="H5">
        <v>0</v>
      </c>
      <c r="I5" t="str">
        <f>OutputTable[[#This Row],[ProjectName]]&amp;OutputTable[[#This Row],[Name]]&amp;OutputTable[[#This Row],[Type]]&amp;OutputTable[[#This Row],[Source]]</f>
        <v>Unnamed ProjectJobs.NumberOutNumber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300</v>
      </c>
      <c r="L5" s="3" cm="1">
        <f t="array" ref="L5">IFERROR(_xlfn.STDEV.S(IF((OutputTable[GroupByKey]=OutputTable[[#This Row],[GroupByKey]]),(OutputTable[GroupByKey]=OutputTable[[#This Row],[GroupByKey]])*OutputTable[RecordedValue])),0)</f>
        <v>0</v>
      </c>
      <c r="M5" s="3" cm="1">
        <f t="array" ref="M5">MAX(IF((ProjectInfoTable[ProjectName]=OutputTable[[#This Row],[ProjectName]]),(ProjectInfoTable[ProjectName]=OutputTable[[#This Row],[ProjectName]])*ProjectInfoTable[ConfidenceInterval]))</f>
        <v>0.95</v>
      </c>
      <c r="N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s="3" cm="1">
        <f t="array" ref="O5">MIN(IF((OutputTable[GroupByKey]=OutputTable[[#This Row],[GroupByKey]]),(OutputTable[GroupByKey]=OutputTable[[#This Row],[GroupByKey]])*OutputTable[RecordedValue]))</f>
        <v>300</v>
      </c>
      <c r="P5" s="3" cm="1">
        <f t="array" ref="P5">MAX(IF((OutputTable[GroupByKey]=OutputTable[[#This Row],[GroupByKey]]),(OutputTable[GroupByKey]=OutputTable[[#This Row],[GroupByKey]])*OutputTable[RecordedValue]))</f>
        <v>300</v>
      </c>
    </row>
    <row r="6" spans="1:16" x14ac:dyDescent="0.25">
      <c r="A6" t="s">
        <v>67</v>
      </c>
      <c r="B6" t="s">
        <v>69</v>
      </c>
      <c r="C6">
        <v>1</v>
      </c>
      <c r="D6" t="s">
        <v>102</v>
      </c>
      <c r="E6" t="s">
        <v>101</v>
      </c>
      <c r="F6" t="s">
        <v>103</v>
      </c>
      <c r="G6">
        <v>300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300</v>
      </c>
      <c r="L6" s="3" cm="1">
        <f t="array" ref="L6">IFERROR(_xlfn.STDEV.S(IF((OutputTable[GroupByKey]=OutputTable[[#This Row],[GroupByKey]]),(OutputTable[GroupByKey]=OutputTable[[#This Row],[GroupByKey]])*OutputTable[RecordedValue])),0)</f>
        <v>0</v>
      </c>
      <c r="M6" s="3" cm="1">
        <f t="array" ref="M6">MAX(IF((ProjectInfoTable[ProjectName]=OutputTable[[#This Row],[ProjectName]]),(ProjectInfoTable[ProjectName]=OutputTable[[#This Row],[ProjectName]])*ProjectInfoTable[ConfidenceInterval]))</f>
        <v>0.95</v>
      </c>
      <c r="N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s="3" cm="1">
        <f t="array" ref="O6">MIN(IF((OutputTable[GroupByKey]=OutputTable[[#This Row],[GroupByKey]]),(OutputTable[GroupByKey]=OutputTable[[#This Row],[GroupByKey]])*OutputTable[RecordedValue]))</f>
        <v>300</v>
      </c>
      <c r="P6" s="3" cm="1">
        <f t="array" ref="P6">MAX(IF((OutputTable[GroupByKey]=OutputTable[[#This Row],[GroupByKey]]),(OutputTable[GroupByKey]=OutputTable[[#This Row],[GroupByKey]])*OutputTable[RecordedValue]))</f>
        <v>300</v>
      </c>
    </row>
  </sheetData>
  <phoneticPr fontId="2" type="noConversion"/>
  <conditionalFormatting sqref="I2:P6">
    <cfRule type="expression" dxfId="7" priority="2">
      <formula>MOD(ROW(),2)=0</formula>
    </cfRule>
  </conditionalFormatting>
  <conditionalFormatting sqref="N2:N6">
    <cfRule type="expression" dxfId="6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V45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22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s="3" t="s">
        <v>48</v>
      </c>
      <c r="N1" s="3" t="s">
        <v>60</v>
      </c>
      <c r="O1" s="3" t="s">
        <v>29</v>
      </c>
      <c r="P1" s="3" t="s">
        <v>34</v>
      </c>
      <c r="Q1" s="3"/>
      <c r="R1" s="3"/>
      <c r="S1" s="3"/>
      <c r="T1" s="3"/>
      <c r="U1" s="3"/>
      <c r="V1" s="3"/>
    </row>
    <row r="2" spans="1:22" x14ac:dyDescent="0.25">
      <c r="Q2" s="3"/>
      <c r="R2" s="3"/>
      <c r="S2" s="3"/>
      <c r="T2" s="3"/>
      <c r="U2" s="3"/>
      <c r="V2" s="3"/>
    </row>
    <row r="3" spans="1:22" x14ac:dyDescent="0.25">
      <c r="Q3" s="3"/>
      <c r="R3" s="3"/>
      <c r="S3" s="3"/>
      <c r="T3" s="3"/>
      <c r="U3" s="3"/>
      <c r="V3" s="3"/>
    </row>
    <row r="4" spans="1:22" x14ac:dyDescent="0.25">
      <c r="Q4" s="3"/>
      <c r="R4" s="3"/>
      <c r="S4" s="3"/>
      <c r="T4" s="3"/>
      <c r="U4" s="3"/>
      <c r="V4" s="3"/>
    </row>
    <row r="5" spans="1:22" x14ac:dyDescent="0.25">
      <c r="Q5" s="3"/>
      <c r="R5" s="3"/>
      <c r="S5" s="3"/>
      <c r="T5" s="3"/>
      <c r="U5" s="3"/>
      <c r="V5" s="3"/>
    </row>
    <row r="6" spans="1:22" x14ac:dyDescent="0.25">
      <c r="Q6" s="3"/>
      <c r="R6" s="3"/>
      <c r="S6" s="3"/>
      <c r="T6" s="3"/>
      <c r="U6" s="3"/>
      <c r="V6" s="3"/>
    </row>
    <row r="7" spans="1:22" x14ac:dyDescent="0.25">
      <c r="Q7" s="3"/>
      <c r="R7" s="3"/>
      <c r="S7" s="3"/>
      <c r="T7" s="3"/>
      <c r="U7" s="3"/>
      <c r="V7" s="3"/>
    </row>
    <row r="8" spans="1:22" x14ac:dyDescent="0.25">
      <c r="Q8" s="3"/>
      <c r="R8" s="3"/>
      <c r="S8" s="3"/>
      <c r="T8" s="3"/>
      <c r="U8" s="3"/>
      <c r="V8" s="3"/>
    </row>
    <row r="9" spans="1:22" x14ac:dyDescent="0.25">
      <c r="Q9" s="3"/>
      <c r="R9" s="3"/>
      <c r="S9" s="3"/>
      <c r="T9" s="3"/>
      <c r="U9" s="3"/>
      <c r="V9" s="3"/>
    </row>
    <row r="10" spans="1:22" x14ac:dyDescent="0.25">
      <c r="Q10" s="3"/>
      <c r="R10" s="3"/>
      <c r="S10" s="3"/>
      <c r="T10" s="3"/>
      <c r="U10" s="3"/>
      <c r="V10" s="3"/>
    </row>
    <row r="11" spans="1:22" x14ac:dyDescent="0.25">
      <c r="Q11" s="3"/>
      <c r="R11" s="3"/>
      <c r="S11" s="3"/>
      <c r="T11" s="3"/>
      <c r="U11" s="3"/>
      <c r="V11" s="3"/>
    </row>
    <row r="12" spans="1:22" x14ac:dyDescent="0.25">
      <c r="Q12" s="3"/>
      <c r="R12" s="3"/>
      <c r="S12" s="3"/>
      <c r="T12" s="3"/>
      <c r="U12" s="3"/>
      <c r="V12" s="3"/>
    </row>
    <row r="13" spans="1:22" x14ac:dyDescent="0.25">
      <c r="Q13" s="3"/>
      <c r="R13" s="3"/>
      <c r="S13" s="3"/>
      <c r="T13" s="3"/>
      <c r="U13" s="3"/>
      <c r="V13" s="3"/>
    </row>
    <row r="17" spans="2:22" x14ac:dyDescent="0.25">
      <c r="B17" s="5"/>
      <c r="M17" s="3"/>
      <c r="N17" s="3"/>
      <c r="O17" s="3"/>
      <c r="P17" s="3"/>
    </row>
    <row r="18" spans="2:22" x14ac:dyDescent="0.25">
      <c r="B18" s="5"/>
    </row>
    <row r="19" spans="2:22" x14ac:dyDescent="0.25">
      <c r="B19" s="5"/>
    </row>
    <row r="20" spans="2:22" x14ac:dyDescent="0.25">
      <c r="B20" s="5"/>
    </row>
    <row r="21" spans="2:22" x14ac:dyDescent="0.25">
      <c r="B21" s="5"/>
    </row>
    <row r="22" spans="2:22" x14ac:dyDescent="0.25">
      <c r="B22" s="5"/>
    </row>
    <row r="23" spans="2:22" x14ac:dyDescent="0.25">
      <c r="B23" s="5"/>
    </row>
    <row r="24" spans="2:22" x14ac:dyDescent="0.25">
      <c r="B24" s="5"/>
    </row>
    <row r="25" spans="2:22" x14ac:dyDescent="0.25">
      <c r="B25" s="5"/>
    </row>
    <row r="26" spans="2:22" x14ac:dyDescent="0.25">
      <c r="B26" s="5"/>
    </row>
    <row r="27" spans="2:22" x14ac:dyDescent="0.25">
      <c r="B27" s="5"/>
    </row>
    <row r="28" spans="2:22" x14ac:dyDescent="0.25">
      <c r="B28" s="5"/>
    </row>
    <row r="29" spans="2:22" x14ac:dyDescent="0.25">
      <c r="B29" s="5"/>
    </row>
    <row r="30" spans="2:22" x14ac:dyDescent="0.25">
      <c r="B30" s="5"/>
    </row>
    <row r="31" spans="2:22" x14ac:dyDescent="0.25">
      <c r="B31" s="5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45" spans="17:22" x14ac:dyDescent="0.25">
      <c r="Q45" s="3"/>
      <c r="R45" s="3"/>
      <c r="S45" s="3"/>
      <c r="T45" s="3"/>
      <c r="U45" s="3"/>
      <c r="V45" s="3"/>
    </row>
  </sheetData>
  <phoneticPr fontId="2" type="noConversion"/>
  <conditionalFormatting sqref="K1:P2 K17:P17 Q45:V45 K31:V31">
    <cfRule type="expression" dxfId="5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Edwin Alejandro Forero Gómez</cp:lastModifiedBy>
  <cp:lastPrinted>2022-03-22T10:33:10Z</cp:lastPrinted>
  <dcterms:created xsi:type="dcterms:W3CDTF">2020-06-29T21:30:31Z</dcterms:created>
  <dcterms:modified xsi:type="dcterms:W3CDTF">2023-04-13T01:58:59Z</dcterms:modified>
</cp:coreProperties>
</file>