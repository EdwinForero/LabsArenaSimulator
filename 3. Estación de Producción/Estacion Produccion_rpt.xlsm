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User\Edwin\Documents\Info Personal\University\2023 - I\Simulación\Arena\3. Estación de Producción\"/>
    </mc:Choice>
  </mc:AlternateContent>
  <xr:revisionPtr revIDLastSave="0" documentId="13_ncr:1_{08EECB91-72BB-47F6-A4AE-4C6ECB77629C}" xr6:coauthVersionLast="47" xr6:coauthVersionMax="47" xr10:uidLastSave="{00000000-0000-0000-0000-000000000000}"/>
  <bookViews>
    <workbookView xWindow="-120" yWindow="-120" windowWidth="29040" windowHeight="1572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ContinuousTimeStatsByRep!$A$1:$L$14</definedName>
    <definedName name="ExternalData_1" localSheetId="4" hidden="1">CounterStatsByRep!$A$1:$G$2</definedName>
    <definedName name="ExternalData_1" localSheetId="2" hidden="1">DiscreteTimeStatsByRep!$A$1:$K$42</definedName>
    <definedName name="ExternalData_1" localSheetId="6" hidden="1">FrequencyStatsByRep!$A$1:$J$2</definedName>
    <definedName name="ExternalData_1" localSheetId="5" hidden="1">OutputStatsByRep!$A$1:$H$54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0" r:id="rId8"/>
    <pivotCache cacheId="46" r:id="rId9"/>
    <pivotCache cacheId="52" r:id="rId10"/>
    <pivotCache cacheId="58" r:id="rId11"/>
    <pivotCache cacheId="6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K24" i="20" s="1" a="1"/>
  <c r="K24" i="20" s="1"/>
  <c r="I31" i="20"/>
  <c r="K31" i="20" s="1" a="1"/>
  <c r="K31" i="20" s="1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K46" i="20" s="1" a="1"/>
  <c r="K46" i="20" s="1"/>
  <c r="I47" i="20"/>
  <c r="K47" i="20" s="1" a="1"/>
  <c r="K47" i="20" s="1"/>
  <c r="I48" i="20"/>
  <c r="I49" i="20"/>
  <c r="I50" i="20"/>
  <c r="I51" i="20"/>
  <c r="I52" i="20"/>
  <c r="I53" i="20"/>
  <c r="I54" i="20"/>
  <c r="J2" i="20" a="1"/>
  <c r="J2" i="20" s="1"/>
  <c r="J3" i="20" a="1"/>
  <c r="J3" i="20" s="1"/>
  <c r="J4" i="20" a="1"/>
  <c r="J4" i="20" s="1"/>
  <c r="J5" i="20" a="1"/>
  <c r="J5" i="20" s="1"/>
  <c r="N5" i="20" s="1"/>
  <c r="J6" i="20" a="1"/>
  <c r="J6" i="20" s="1"/>
  <c r="J7" i="20" a="1"/>
  <c r="J7" i="20" s="1"/>
  <c r="J8" i="20" a="1"/>
  <c r="J8" i="20" s="1"/>
  <c r="J9" i="20" a="1"/>
  <c r="J9" i="20" s="1"/>
  <c r="J10" i="20" a="1"/>
  <c r="J10" i="20" s="1"/>
  <c r="J11" i="20" a="1"/>
  <c r="J11" i="20" s="1"/>
  <c r="J12" i="20" a="1"/>
  <c r="J12" i="20" s="1"/>
  <c r="J13" i="20" a="1"/>
  <c r="J13" i="20" s="1"/>
  <c r="J14" i="20" a="1"/>
  <c r="J14" i="20" s="1"/>
  <c r="J15" i="20" a="1"/>
  <c r="J15" i="20" s="1"/>
  <c r="J16" i="20" a="1"/>
  <c r="J16" i="20" s="1"/>
  <c r="J17" i="20" a="1"/>
  <c r="J17" i="20" s="1"/>
  <c r="J18" i="20" a="1"/>
  <c r="J18" i="20" s="1"/>
  <c r="J19" i="20" a="1"/>
  <c r="J19" i="20" s="1"/>
  <c r="J20" i="20" a="1"/>
  <c r="J20" i="20" s="1"/>
  <c r="J21" i="20" a="1"/>
  <c r="J21" i="20" s="1"/>
  <c r="J22" i="20" a="1"/>
  <c r="J22" i="20" s="1"/>
  <c r="J23" i="20" a="1"/>
  <c r="J23" i="20" s="1"/>
  <c r="J24" i="20" a="1"/>
  <c r="J24" i="20" s="1"/>
  <c r="J25" i="20" a="1"/>
  <c r="J25" i="20" s="1"/>
  <c r="J26" i="20" a="1"/>
  <c r="J26" i="20" s="1"/>
  <c r="J27" i="20" a="1"/>
  <c r="J27" i="20" s="1"/>
  <c r="J28" i="20" a="1"/>
  <c r="J28" i="20" s="1"/>
  <c r="J29" i="20" a="1"/>
  <c r="J29" i="20" s="1"/>
  <c r="J30" i="20" a="1"/>
  <c r="J30" i="20" s="1"/>
  <c r="J31" i="20" a="1"/>
  <c r="J31" i="20" s="1"/>
  <c r="J32" i="20" a="1"/>
  <c r="J32" i="20" s="1"/>
  <c r="J33" i="20" a="1"/>
  <c r="J33" i="20" s="1"/>
  <c r="J34" i="20" a="1"/>
  <c r="J34" i="20" s="1"/>
  <c r="J35" i="20" a="1"/>
  <c r="J35" i="20" s="1"/>
  <c r="J36" i="20" a="1"/>
  <c r="J36" i="20" s="1"/>
  <c r="J37" i="20" a="1"/>
  <c r="J37" i="20"/>
  <c r="J38" i="20" a="1"/>
  <c r="J38" i="20" s="1"/>
  <c r="J39" i="20" a="1"/>
  <c r="J39" i="20" s="1"/>
  <c r="J40" i="20" a="1"/>
  <c r="J40" i="20" s="1"/>
  <c r="J41" i="20" a="1"/>
  <c r="J41" i="20" s="1"/>
  <c r="J42" i="20" a="1"/>
  <c r="J42" i="20" s="1"/>
  <c r="J43" i="20" a="1"/>
  <c r="J43" i="20" s="1"/>
  <c r="J44" i="20" a="1"/>
  <c r="J44" i="20" s="1"/>
  <c r="J45" i="20" a="1"/>
  <c r="J45" i="20"/>
  <c r="J46" i="20" a="1"/>
  <c r="J46" i="20" s="1"/>
  <c r="J47" i="20" a="1"/>
  <c r="J47" i="20" s="1"/>
  <c r="J48" i="20" a="1"/>
  <c r="J48" i="20" s="1"/>
  <c r="J49" i="20" a="1"/>
  <c r="J49" i="20" s="1"/>
  <c r="J50" i="20" a="1"/>
  <c r="J50" i="20" s="1"/>
  <c r="J51" i="20" a="1"/>
  <c r="J51" i="20" s="1"/>
  <c r="J52" i="20" a="1"/>
  <c r="J52" i="20" s="1"/>
  <c r="J53" i="20" a="1"/>
  <c r="J53" i="20" s="1"/>
  <c r="N53" i="20" s="1"/>
  <c r="J54" i="20" a="1"/>
  <c r="J54" i="20" s="1"/>
  <c r="K20" i="20" a="1"/>
  <c r="K20" i="20" s="1"/>
  <c r="K21" i="20" a="1"/>
  <c r="K21" i="20" s="1"/>
  <c r="K36" i="20" a="1"/>
  <c r="K36" i="20" s="1"/>
  <c r="K37" i="20" a="1"/>
  <c r="K37" i="20" s="1"/>
  <c r="K42" i="20" a="1"/>
  <c r="K42" i="20" s="1"/>
  <c r="K52" i="20" a="1"/>
  <c r="K52" i="20" s="1"/>
  <c r="K53" i="20" a="1"/>
  <c r="K53" i="20" s="1"/>
  <c r="K54" i="20" a="1"/>
  <c r="K54" i="20" s="1"/>
  <c r="L4" i="20" a="1"/>
  <c r="L4" i="20" s="1"/>
  <c r="L5" i="20" a="1"/>
  <c r="L5" i="20" s="1"/>
  <c r="L6" i="20" a="1"/>
  <c r="L6" i="20" s="1"/>
  <c r="L7" i="20" a="1"/>
  <c r="L7" i="20" s="1"/>
  <c r="L8" i="20" a="1"/>
  <c r="L8" i="20" s="1"/>
  <c r="L11" i="20" a="1"/>
  <c r="L11" i="20" s="1"/>
  <c r="L12" i="20" a="1"/>
  <c r="L12" i="20" s="1"/>
  <c r="L13" i="20" a="1"/>
  <c r="L13" i="20" s="1"/>
  <c r="L14" i="20" a="1"/>
  <c r="L14" i="20" s="1"/>
  <c r="L15" i="20" a="1"/>
  <c r="L15" i="20" s="1"/>
  <c r="L16" i="20" a="1"/>
  <c r="L16" i="20" s="1"/>
  <c r="L17" i="20" a="1"/>
  <c r="L17" i="20" s="1"/>
  <c r="L18" i="20" a="1"/>
  <c r="L18" i="20" s="1"/>
  <c r="L19" i="20" a="1"/>
  <c r="L19" i="20" s="1"/>
  <c r="L20" i="20" a="1"/>
  <c r="L20" i="20" s="1"/>
  <c r="L21" i="20" a="1"/>
  <c r="L21" i="20" s="1"/>
  <c r="L22" i="20" a="1"/>
  <c r="L22" i="20" s="1"/>
  <c r="L23" i="20" a="1"/>
  <c r="L23" i="20" s="1"/>
  <c r="L24" i="20" a="1"/>
  <c r="L24" i="20" s="1"/>
  <c r="L27" i="20" a="1"/>
  <c r="L27" i="20" s="1"/>
  <c r="L28" i="20" a="1"/>
  <c r="L28" i="20" s="1"/>
  <c r="L29" i="20" a="1"/>
  <c r="L29" i="20" s="1"/>
  <c r="L30" i="20" a="1"/>
  <c r="L30" i="20" s="1"/>
  <c r="L31" i="20" a="1"/>
  <c r="L31" i="20" s="1"/>
  <c r="L32" i="20" a="1"/>
  <c r="L32" i="20" s="1"/>
  <c r="L33" i="20" a="1"/>
  <c r="L33" i="20" s="1"/>
  <c r="L34" i="20" a="1"/>
  <c r="L34" i="20" s="1"/>
  <c r="L35" i="20" a="1"/>
  <c r="L35" i="20" s="1"/>
  <c r="L36" i="20" a="1"/>
  <c r="L36" i="20" s="1"/>
  <c r="L37" i="20" a="1"/>
  <c r="L37" i="20" s="1"/>
  <c r="L38" i="20" a="1"/>
  <c r="L38" i="20" s="1"/>
  <c r="L39" i="20" a="1"/>
  <c r="L39" i="20" s="1"/>
  <c r="L40" i="20" a="1"/>
  <c r="L40" i="20" s="1"/>
  <c r="L41" i="20" a="1"/>
  <c r="L41" i="20" s="1"/>
  <c r="L42" i="20" a="1"/>
  <c r="L42" i="20" s="1"/>
  <c r="L43" i="20" a="1"/>
  <c r="L43" i="20" s="1"/>
  <c r="L44" i="20" a="1"/>
  <c r="L44" i="20" s="1"/>
  <c r="L45" i="20" a="1"/>
  <c r="L45" i="20" s="1"/>
  <c r="L46" i="20" a="1"/>
  <c r="L46" i="20" s="1"/>
  <c r="L47" i="20" a="1"/>
  <c r="L47" i="20" s="1"/>
  <c r="L48" i="20" a="1"/>
  <c r="L48" i="20" s="1"/>
  <c r="L49" i="20" a="1"/>
  <c r="L49" i="20" s="1"/>
  <c r="L50" i="20" a="1"/>
  <c r="L50" i="20" s="1"/>
  <c r="L51" i="20" a="1"/>
  <c r="L51" i="20" s="1"/>
  <c r="L52" i="20" a="1"/>
  <c r="L52" i="20" s="1"/>
  <c r="L53" i="20" a="1"/>
  <c r="L53" i="20" s="1"/>
  <c r="L54" i="20" a="1"/>
  <c r="L54" i="20" s="1"/>
  <c r="M2" i="20" a="1"/>
  <c r="M2" i="20" s="1"/>
  <c r="M3" i="20" a="1"/>
  <c r="M3" i="20" s="1"/>
  <c r="M4" i="20" a="1"/>
  <c r="M4" i="20" s="1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M10" i="20" a="1"/>
  <c r="M10" i="20" s="1"/>
  <c r="M11" i="20" a="1"/>
  <c r="M11" i="20" s="1"/>
  <c r="M12" i="20" a="1"/>
  <c r="M12" i="20" s="1"/>
  <c r="M13" i="20" a="1"/>
  <c r="M13" i="20" s="1"/>
  <c r="M14" i="20" a="1"/>
  <c r="M14" i="20" s="1"/>
  <c r="M15" i="20" a="1"/>
  <c r="M15" i="20" s="1"/>
  <c r="M16" i="20" a="1"/>
  <c r="M16" i="20" s="1"/>
  <c r="M17" i="20" a="1"/>
  <c r="M17" i="20" s="1"/>
  <c r="M18" i="20" a="1"/>
  <c r="M18" i="20" s="1"/>
  <c r="M19" i="20" a="1"/>
  <c r="M19" i="20" s="1"/>
  <c r="M20" i="20" a="1"/>
  <c r="M20" i="20" s="1"/>
  <c r="M21" i="20" a="1"/>
  <c r="M21" i="20" s="1"/>
  <c r="M22" i="20" a="1"/>
  <c r="M22" i="20" s="1"/>
  <c r="M23" i="20" a="1"/>
  <c r="M23" i="20" s="1"/>
  <c r="M24" i="20" a="1"/>
  <c r="M24" i="20" s="1"/>
  <c r="M25" i="20" a="1"/>
  <c r="M25" i="20" s="1"/>
  <c r="M26" i="20" a="1"/>
  <c r="M26" i="20" s="1"/>
  <c r="M27" i="20" a="1"/>
  <c r="M27" i="20" s="1"/>
  <c r="M28" i="20" a="1"/>
  <c r="M28" i="20" s="1"/>
  <c r="M29" i="20" a="1"/>
  <c r="M29" i="20" s="1"/>
  <c r="M30" i="20" a="1"/>
  <c r="M30" i="20" s="1"/>
  <c r="M31" i="20" a="1"/>
  <c r="M31" i="20" s="1"/>
  <c r="M32" i="20" a="1"/>
  <c r="M32" i="20" s="1"/>
  <c r="M33" i="20" a="1"/>
  <c r="M33" i="20" s="1"/>
  <c r="M34" i="20" a="1"/>
  <c r="M34" i="20" s="1"/>
  <c r="M35" i="20" a="1"/>
  <c r="M35" i="20" s="1"/>
  <c r="M36" i="20" a="1"/>
  <c r="M36" i="20" s="1"/>
  <c r="M37" i="20" a="1"/>
  <c r="M37" i="20" s="1"/>
  <c r="M38" i="20" a="1"/>
  <c r="M38" i="20" s="1"/>
  <c r="M39" i="20" a="1"/>
  <c r="M39" i="20" s="1"/>
  <c r="M40" i="20" a="1"/>
  <c r="M40" i="20" s="1"/>
  <c r="M41" i="20" a="1"/>
  <c r="M41" i="20" s="1"/>
  <c r="M42" i="20" a="1"/>
  <c r="M42" i="20" s="1"/>
  <c r="M43" i="20" a="1"/>
  <c r="M43" i="20" s="1"/>
  <c r="M44" i="20" a="1"/>
  <c r="M44" i="20" s="1"/>
  <c r="M45" i="20" a="1"/>
  <c r="M45" i="20" s="1"/>
  <c r="M46" i="20" a="1"/>
  <c r="M46" i="20" s="1"/>
  <c r="M47" i="20" a="1"/>
  <c r="M47" i="20" s="1"/>
  <c r="M48" i="20" a="1"/>
  <c r="M48" i="20" s="1"/>
  <c r="M49" i="20" a="1"/>
  <c r="M49" i="20" s="1"/>
  <c r="M50" i="20" a="1"/>
  <c r="M50" i="20" s="1"/>
  <c r="M51" i="20" a="1"/>
  <c r="M51" i="20" s="1"/>
  <c r="M52" i="20" a="1"/>
  <c r="M52" i="20" s="1"/>
  <c r="M53" i="20" a="1"/>
  <c r="M53" i="20" s="1"/>
  <c r="M54" i="20" a="1"/>
  <c r="M54" i="20" s="1"/>
  <c r="O11" i="20" a="1"/>
  <c r="O11" i="20" s="1"/>
  <c r="O14" i="20" a="1"/>
  <c r="O14" i="20"/>
  <c r="O15" i="20" a="1"/>
  <c r="O15" i="20" s="1"/>
  <c r="O16" i="20" a="1"/>
  <c r="O16" i="20" s="1"/>
  <c r="O18" i="20" a="1"/>
  <c r="O18" i="20" s="1"/>
  <c r="O19" i="20" a="1"/>
  <c r="O19" i="20" s="1"/>
  <c r="O20" i="20" a="1"/>
  <c r="O20" i="20" s="1"/>
  <c r="O21" i="20" a="1"/>
  <c r="O21" i="20"/>
  <c r="O22" i="20" a="1"/>
  <c r="O22" i="20" s="1"/>
  <c r="O23" i="20" a="1"/>
  <c r="O23" i="20" s="1"/>
  <c r="O24" i="20" a="1"/>
  <c r="O24" i="20"/>
  <c r="O25" i="20" a="1"/>
  <c r="O25" i="20" s="1"/>
  <c r="O26" i="20" a="1"/>
  <c r="O26" i="20"/>
  <c r="O27" i="20" a="1"/>
  <c r="O27" i="20" s="1"/>
  <c r="O28" i="20" a="1"/>
  <c r="O28" i="20" s="1"/>
  <c r="O29" i="20" a="1"/>
  <c r="O29" i="20" s="1"/>
  <c r="O30" i="20" a="1"/>
  <c r="O30" i="20"/>
  <c r="O31" i="20" a="1"/>
  <c r="O31" i="20" s="1"/>
  <c r="O32" i="20" a="1"/>
  <c r="O32" i="20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/>
  <c r="O39" i="20" a="1"/>
  <c r="O39" i="20" s="1"/>
  <c r="O40" i="20" a="1"/>
  <c r="O40" i="20"/>
  <c r="O41" i="20" a="1"/>
  <c r="O41" i="20"/>
  <c r="O42" i="20" a="1"/>
  <c r="O42" i="20" s="1"/>
  <c r="O43" i="20" a="1"/>
  <c r="O43" i="20"/>
  <c r="O44" i="20" a="1"/>
  <c r="O44" i="20" s="1"/>
  <c r="O45" i="20" a="1"/>
  <c r="O45" i="20" s="1"/>
  <c r="O46" i="20" a="1"/>
  <c r="O46" i="20" s="1"/>
  <c r="O47" i="20" a="1"/>
  <c r="O47" i="20" s="1"/>
  <c r="O48" i="20" a="1"/>
  <c r="O48" i="20" s="1"/>
  <c r="O49" i="20" a="1"/>
  <c r="O49" i="20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P2" i="20" a="1"/>
  <c r="P2" i="20" s="1"/>
  <c r="P3" i="20" a="1"/>
  <c r="P3" i="20"/>
  <c r="P4" i="20" a="1"/>
  <c r="P4" i="20"/>
  <c r="P5" i="20" a="1"/>
  <c r="P5" i="20"/>
  <c r="P6" i="20" a="1"/>
  <c r="P6" i="20" s="1"/>
  <c r="P7" i="20" a="1"/>
  <c r="P7" i="20"/>
  <c r="P8" i="20" a="1"/>
  <c r="P8" i="20" s="1"/>
  <c r="P9" i="20" a="1"/>
  <c r="P9" i="20" s="1"/>
  <c r="P10" i="20" a="1"/>
  <c r="P10" i="20" s="1"/>
  <c r="P11" i="20" a="1"/>
  <c r="P11" i="20"/>
  <c r="P12" i="20" a="1"/>
  <c r="P12" i="20" s="1"/>
  <c r="P13" i="20" a="1"/>
  <c r="P13" i="20" s="1"/>
  <c r="P14" i="20" a="1"/>
  <c r="P14" i="20" s="1"/>
  <c r="P15" i="20" a="1"/>
  <c r="P15" i="20" s="1"/>
  <c r="P16" i="20" a="1"/>
  <c r="P16" i="20" s="1"/>
  <c r="P17" i="20" a="1"/>
  <c r="P17" i="20" s="1"/>
  <c r="P18" i="20" a="1"/>
  <c r="P18" i="20" s="1"/>
  <c r="P19" i="20" a="1"/>
  <c r="P19" i="20" s="1"/>
  <c r="P20" i="20" a="1"/>
  <c r="P20" i="20"/>
  <c r="P21" i="20" a="1"/>
  <c r="P21" i="20"/>
  <c r="P22" i="20" a="1"/>
  <c r="P22" i="20"/>
  <c r="P23" i="20" a="1"/>
  <c r="P23" i="20" s="1"/>
  <c r="P24" i="20" a="1"/>
  <c r="P24" i="20"/>
  <c r="P25" i="20" a="1"/>
  <c r="P25" i="20" s="1"/>
  <c r="P26" i="20" a="1"/>
  <c r="P26" i="20" s="1"/>
  <c r="P27" i="20" a="1"/>
  <c r="P27" i="20" s="1"/>
  <c r="P28" i="20" a="1"/>
  <c r="P28" i="20"/>
  <c r="P29" i="20" a="1"/>
  <c r="P29" i="20" s="1"/>
  <c r="P30" i="20" a="1"/>
  <c r="P30" i="20" s="1"/>
  <c r="P31" i="20" a="1"/>
  <c r="P31" i="20" s="1"/>
  <c r="P32" i="20" a="1"/>
  <c r="P32" i="20" s="1"/>
  <c r="P33" i="20" a="1"/>
  <c r="P33" i="20"/>
  <c r="P34" i="20" a="1"/>
  <c r="P34" i="20" s="1"/>
  <c r="P35" i="20" a="1"/>
  <c r="P35" i="20" s="1"/>
  <c r="P36" i="20" a="1"/>
  <c r="P36" i="20" s="1"/>
  <c r="P37" i="20" a="1"/>
  <c r="P37" i="20" s="1"/>
  <c r="P38" i="20" a="1"/>
  <c r="P38" i="20"/>
  <c r="P39" i="20" a="1"/>
  <c r="P39" i="20" s="1"/>
  <c r="P40" i="20" a="1"/>
  <c r="P40" i="20" s="1"/>
  <c r="P41" i="20" a="1"/>
  <c r="P41" i="20" s="1"/>
  <c r="P42" i="20" a="1"/>
  <c r="P42" i="20" s="1"/>
  <c r="P43" i="20" a="1"/>
  <c r="P43" i="20"/>
  <c r="P44" i="20" a="1"/>
  <c r="P44" i="20" s="1"/>
  <c r="P45" i="20" a="1"/>
  <c r="P45" i="20" s="1"/>
  <c r="P46" i="20" a="1"/>
  <c r="P46" i="20" s="1"/>
  <c r="P47" i="20" a="1"/>
  <c r="P47" i="20"/>
  <c r="P48" i="20" a="1"/>
  <c r="P48" i="20" s="1"/>
  <c r="P49" i="20" a="1"/>
  <c r="P49" i="20" s="1"/>
  <c r="P50" i="20" a="1"/>
  <c r="P50" i="20" s="1"/>
  <c r="P51" i="20" a="1"/>
  <c r="P51" i="20" s="1"/>
  <c r="P52" i="20" a="1"/>
  <c r="P52" i="20" s="1"/>
  <c r="P53" i="20" a="1"/>
  <c r="P53" i="20" s="1"/>
  <c r="P54" i="20" a="1"/>
  <c r="P54" i="20" s="1"/>
  <c r="M2" i="18"/>
  <c r="T10" i="18" s="1" a="1"/>
  <c r="T10" i="18" s="1"/>
  <c r="M3" i="18"/>
  <c r="M4" i="18"/>
  <c r="M5" i="18"/>
  <c r="M6" i="18"/>
  <c r="M7" i="18"/>
  <c r="M8" i="18"/>
  <c r="M9" i="18"/>
  <c r="M10" i="18"/>
  <c r="M11" i="18"/>
  <c r="M12" i="18"/>
  <c r="M13" i="18"/>
  <c r="T13" i="18" s="1" a="1"/>
  <c r="T13" i="18" s="1"/>
  <c r="M14" i="18"/>
  <c r="O14" i="18" s="1" a="1"/>
  <c r="O14" i="18" s="1"/>
  <c r="N2" i="18" a="1"/>
  <c r="N2" i="18" s="1"/>
  <c r="N3" i="18" a="1"/>
  <c r="N3" i="18" s="1"/>
  <c r="N4" i="18" a="1"/>
  <c r="N4" i="18" s="1"/>
  <c r="N5" i="18" a="1"/>
  <c r="N5" i="18" s="1"/>
  <c r="N6" i="18" a="1"/>
  <c r="N6" i="18" s="1"/>
  <c r="N7" i="18" a="1"/>
  <c r="N7" i="18" s="1"/>
  <c r="N8" i="18" a="1"/>
  <c r="N8" i="18" s="1"/>
  <c r="N9" i="18" a="1"/>
  <c r="N9" i="18" s="1"/>
  <c r="U9" i="18" s="1"/>
  <c r="N10" i="18" a="1"/>
  <c r="N10" i="18" s="1"/>
  <c r="N11" i="18" a="1"/>
  <c r="N11" i="18" s="1"/>
  <c r="N12" i="18" a="1"/>
  <c r="N12" i="18" s="1"/>
  <c r="N13" i="18" a="1"/>
  <c r="N13" i="18" s="1"/>
  <c r="N14" i="18" a="1"/>
  <c r="N14" i="18" s="1"/>
  <c r="O13" i="18" a="1"/>
  <c r="O13" i="18" s="1"/>
  <c r="P9" i="18" a="1"/>
  <c r="P9" i="18" s="1"/>
  <c r="Q2" i="18" a="1"/>
  <c r="Q2" i="18" s="1"/>
  <c r="Q3" i="18" a="1"/>
  <c r="Q3" i="18" s="1"/>
  <c r="Q4" i="18" a="1"/>
  <c r="Q4" i="18" s="1"/>
  <c r="Q5" i="18" a="1"/>
  <c r="Q5" i="18" s="1"/>
  <c r="Q6" i="18" a="1"/>
  <c r="Q6" i="18" s="1"/>
  <c r="Q7" i="18" a="1"/>
  <c r="Q7" i="18" s="1"/>
  <c r="Q8" i="18" a="1"/>
  <c r="Q8" i="18" s="1"/>
  <c r="Q9" i="18" a="1"/>
  <c r="Q9" i="18" s="1"/>
  <c r="Q10" i="18" a="1"/>
  <c r="Q10" i="18" s="1"/>
  <c r="Q11" i="18" a="1"/>
  <c r="Q11" i="18" s="1"/>
  <c r="Q12" i="18" a="1"/>
  <c r="Q12" i="18" s="1"/>
  <c r="Q13" i="18" a="1"/>
  <c r="Q13" i="18" s="1"/>
  <c r="Q14" i="18" a="1"/>
  <c r="Q14" i="18" s="1"/>
  <c r="S7" i="18" a="1"/>
  <c r="S7" i="18" s="1"/>
  <c r="T2" i="18" a="1"/>
  <c r="T2" i="18" s="1"/>
  <c r="L2" i="17"/>
  <c r="L3" i="17"/>
  <c r="L4" i="17"/>
  <c r="L5" i="17"/>
  <c r="L6" i="17"/>
  <c r="L7" i="17"/>
  <c r="L8" i="17"/>
  <c r="L9" i="17"/>
  <c r="R39" i="17" s="1" a="1"/>
  <c r="R39" i="17" s="1"/>
  <c r="L10" i="17"/>
  <c r="L11" i="17"/>
  <c r="L12" i="17"/>
  <c r="L13" i="17"/>
  <c r="S42" i="17" s="1" a="1"/>
  <c r="S42" i="17" s="1"/>
  <c r="L14" i="17"/>
  <c r="T14" i="17" s="1" a="1"/>
  <c r="T14" i="17" s="1"/>
  <c r="L15" i="17"/>
  <c r="R38" i="17" s="1" a="1"/>
  <c r="R38" i="17" s="1"/>
  <c r="L16" i="17"/>
  <c r="L17" i="17"/>
  <c r="L18" i="17"/>
  <c r="L19" i="17"/>
  <c r="L20" i="17"/>
  <c r="L21" i="17"/>
  <c r="L22" i="17"/>
  <c r="L23" i="17"/>
  <c r="L24" i="17"/>
  <c r="L25" i="17"/>
  <c r="L26" i="17"/>
  <c r="L27" i="17"/>
  <c r="L28" i="17"/>
  <c r="L29" i="17"/>
  <c r="S29" i="17" s="1" a="1"/>
  <c r="S29" i="17" s="1"/>
  <c r="L30" i="17"/>
  <c r="S30" i="17" s="1" a="1"/>
  <c r="S30" i="17" s="1"/>
  <c r="L31" i="17"/>
  <c r="R21" i="17" s="1" a="1"/>
  <c r="R21" i="17" s="1"/>
  <c r="L32" i="17"/>
  <c r="L33" i="17"/>
  <c r="L34" i="17"/>
  <c r="L35" i="17"/>
  <c r="L36" i="17"/>
  <c r="L37" i="17"/>
  <c r="L38" i="17"/>
  <c r="L39" i="17"/>
  <c r="L40" i="17"/>
  <c r="L41" i="17"/>
  <c r="R41" i="17" s="1" a="1"/>
  <c r="R41" i="17" s="1"/>
  <c r="L42" i="17"/>
  <c r="M2" i="17" a="1"/>
  <c r="M2" i="17" s="1"/>
  <c r="W2" i="17" s="1"/>
  <c r="M3" i="17" a="1"/>
  <c r="M3" i="17" s="1"/>
  <c r="M4" i="17" a="1"/>
  <c r="M4" i="17" s="1"/>
  <c r="M5" i="17" a="1"/>
  <c r="M5" i="17" s="1"/>
  <c r="M6" i="17" a="1"/>
  <c r="M6" i="17" s="1"/>
  <c r="M7" i="17" a="1"/>
  <c r="M7" i="17" s="1"/>
  <c r="M8" i="17" a="1"/>
  <c r="M8" i="17" s="1"/>
  <c r="M9" i="17" a="1"/>
  <c r="M9" i="17" s="1"/>
  <c r="M10" i="17" a="1"/>
  <c r="M10" i="17" s="1"/>
  <c r="W10" i="17" s="1"/>
  <c r="M11" i="17" a="1"/>
  <c r="M11" i="17" s="1"/>
  <c r="M12" i="17" a="1"/>
  <c r="M12" i="17" s="1"/>
  <c r="M13" i="17" a="1"/>
  <c r="M13" i="17" s="1"/>
  <c r="M14" i="17" a="1"/>
  <c r="M14" i="17" s="1"/>
  <c r="M15" i="17" a="1"/>
  <c r="M15" i="17" s="1"/>
  <c r="M16" i="17" a="1"/>
  <c r="M16" i="17" s="1"/>
  <c r="M17" i="17" a="1"/>
  <c r="M17" i="17" s="1"/>
  <c r="M18" i="17" a="1"/>
  <c r="M18" i="17" s="1"/>
  <c r="W18" i="17" s="1"/>
  <c r="M19" i="17" a="1"/>
  <c r="M19" i="17" s="1"/>
  <c r="M20" i="17" a="1"/>
  <c r="M20" i="17" s="1"/>
  <c r="M21" i="17" a="1"/>
  <c r="M21" i="17" s="1"/>
  <c r="M22" i="17" a="1"/>
  <c r="M22" i="17" s="1"/>
  <c r="M23" i="17" a="1"/>
  <c r="M23" i="17" s="1"/>
  <c r="M24" i="17" a="1"/>
  <c r="M24" i="17" s="1"/>
  <c r="M25" i="17" a="1"/>
  <c r="M25" i="17" s="1"/>
  <c r="M26" i="17" a="1"/>
  <c r="M26" i="17" s="1"/>
  <c r="W26" i="17" s="1"/>
  <c r="M27" i="17" a="1"/>
  <c r="M27" i="17" s="1"/>
  <c r="M28" i="17" a="1"/>
  <c r="M28" i="17" s="1"/>
  <c r="M29" i="17" a="1"/>
  <c r="M29" i="17" s="1"/>
  <c r="M30" i="17" a="1"/>
  <c r="M30" i="17" s="1"/>
  <c r="M31" i="17" a="1"/>
  <c r="M31" i="17" s="1"/>
  <c r="M32" i="17" a="1"/>
  <c r="M32" i="17" s="1"/>
  <c r="M33" i="17" a="1"/>
  <c r="M33" i="17" s="1"/>
  <c r="M34" i="17" a="1"/>
  <c r="M34" i="17" s="1"/>
  <c r="W34" i="17" s="1"/>
  <c r="M35" i="17" a="1"/>
  <c r="M35" i="17" s="1"/>
  <c r="M36" i="17" a="1"/>
  <c r="M36" i="17" s="1"/>
  <c r="M37" i="17" a="1"/>
  <c r="M37" i="17" s="1"/>
  <c r="M38" i="17" a="1"/>
  <c r="M38" i="17" s="1"/>
  <c r="M39" i="17" a="1"/>
  <c r="M39" i="17" s="1"/>
  <c r="M40" i="17" a="1"/>
  <c r="M40" i="17" s="1"/>
  <c r="M41" i="17" a="1"/>
  <c r="M41" i="17" s="1"/>
  <c r="M42" i="17" a="1"/>
  <c r="M42" i="17" s="1"/>
  <c r="W42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8" i="17" a="1"/>
  <c r="P8" i="17" s="1"/>
  <c r="P9" i="17" a="1"/>
  <c r="P9" i="17" s="1"/>
  <c r="P10" i="17" a="1"/>
  <c r="P10" i="17" s="1"/>
  <c r="P11" i="17" a="1"/>
  <c r="P11" i="17" s="1"/>
  <c r="P12" i="17" a="1"/>
  <c r="P12" i="17" s="1"/>
  <c r="P13" i="17" a="1"/>
  <c r="P13" i="17" s="1"/>
  <c r="P14" i="17" a="1"/>
  <c r="P14" i="17" s="1"/>
  <c r="P15" i="17" a="1"/>
  <c r="P15" i="17" s="1"/>
  <c r="P16" i="17" a="1"/>
  <c r="P16" i="17" s="1"/>
  <c r="P17" i="17" a="1"/>
  <c r="P17" i="17" s="1"/>
  <c r="P18" i="17" a="1"/>
  <c r="P18" i="17" s="1"/>
  <c r="P19" i="17" a="1"/>
  <c r="P19" i="17" s="1"/>
  <c r="P20" i="17" a="1"/>
  <c r="P20" i="17" s="1"/>
  <c r="P21" i="17" a="1"/>
  <c r="P21" i="17" s="1"/>
  <c r="P22" i="17" a="1"/>
  <c r="P22" i="17" s="1"/>
  <c r="P23" i="17" a="1"/>
  <c r="P23" i="17" s="1"/>
  <c r="P24" i="17" a="1"/>
  <c r="P24" i="17" s="1"/>
  <c r="P25" i="17" a="1"/>
  <c r="P25" i="17" s="1"/>
  <c r="P26" i="17" a="1"/>
  <c r="P26" i="17" s="1"/>
  <c r="P27" i="17" a="1"/>
  <c r="P27" i="17" s="1"/>
  <c r="P28" i="17" a="1"/>
  <c r="P28" i="17" s="1"/>
  <c r="P29" i="17" a="1"/>
  <c r="P29" i="17" s="1"/>
  <c r="P30" i="17" a="1"/>
  <c r="P30" i="17" s="1"/>
  <c r="P31" i="17" a="1"/>
  <c r="P31" i="17" s="1"/>
  <c r="P32" i="17" a="1"/>
  <c r="P32" i="17" s="1"/>
  <c r="P33" i="17" a="1"/>
  <c r="P33" i="17" s="1"/>
  <c r="P34" i="17" a="1"/>
  <c r="P34" i="17" s="1"/>
  <c r="P35" i="17" a="1"/>
  <c r="P35" i="17" s="1"/>
  <c r="P36" i="17" a="1"/>
  <c r="P36" i="17" s="1"/>
  <c r="P37" i="17" a="1"/>
  <c r="P37" i="17" s="1"/>
  <c r="P38" i="17" a="1"/>
  <c r="P38" i="17" s="1"/>
  <c r="P39" i="17" a="1"/>
  <c r="P39" i="17" s="1"/>
  <c r="P40" i="17" a="1"/>
  <c r="P40" i="17" s="1"/>
  <c r="P41" i="17" a="1"/>
  <c r="P41" i="17" s="1"/>
  <c r="P42" i="17" a="1"/>
  <c r="P42" i="17" s="1"/>
  <c r="R36" i="17" a="1"/>
  <c r="R36" i="17" s="1"/>
  <c r="S13" i="17" a="1"/>
  <c r="S13" i="17" s="1"/>
  <c r="S39" i="17" a="1"/>
  <c r="S39" i="17" s="1"/>
  <c r="T13" i="17" a="1"/>
  <c r="T13" i="17" s="1"/>
  <c r="T29" i="17" a="1"/>
  <c r="T29" i="17" s="1"/>
  <c r="U5" i="17" a="1"/>
  <c r="U5" i="17" s="1"/>
  <c r="U21" i="17" a="1"/>
  <c r="U21" i="17" s="1"/>
  <c r="U37" i="17" a="1"/>
  <c r="U37" i="17" s="1"/>
  <c r="V12" i="17" a="1"/>
  <c r="V12" i="17" s="1"/>
  <c r="V28" i="17" a="1"/>
  <c r="V28" i="17" s="1"/>
  <c r="X2" i="17" a="1"/>
  <c r="X2" i="17" s="1"/>
  <c r="Y2" i="17" s="1"/>
  <c r="X32" i="17" a="1"/>
  <c r="X32" i="17" s="1"/>
  <c r="G2" i="16"/>
  <c r="L2" i="20" l="1" a="1"/>
  <c r="L2" i="20" s="1"/>
  <c r="K39" i="20" a="1"/>
  <c r="K39" i="20" s="1"/>
  <c r="K23" i="20" a="1"/>
  <c r="K23" i="20" s="1"/>
  <c r="N39" i="20"/>
  <c r="N11" i="20"/>
  <c r="K38" i="20" a="1"/>
  <c r="K38" i="20" s="1"/>
  <c r="K22" i="20" a="1"/>
  <c r="K22" i="20" s="1"/>
  <c r="N38" i="20"/>
  <c r="N24" i="20"/>
  <c r="N52" i="20"/>
  <c r="N37" i="20"/>
  <c r="N23" i="20"/>
  <c r="O17" i="20" a="1"/>
  <c r="O17" i="20" s="1"/>
  <c r="N51" i="20"/>
  <c r="N22" i="20"/>
  <c r="N8" i="20"/>
  <c r="O9" i="20" a="1"/>
  <c r="O9" i="20" s="1"/>
  <c r="K51" i="20" a="1"/>
  <c r="K51" i="20" s="1"/>
  <c r="K35" i="20" a="1"/>
  <c r="K35" i="20" s="1"/>
  <c r="K19" i="20" a="1"/>
  <c r="K19" i="20" s="1"/>
  <c r="K50" i="20" a="1"/>
  <c r="K50" i="20" s="1"/>
  <c r="K34" i="20" a="1"/>
  <c r="K34" i="20" s="1"/>
  <c r="K18" i="20" a="1"/>
  <c r="K18" i="20" s="1"/>
  <c r="K49" i="20" a="1"/>
  <c r="K49" i="20" s="1"/>
  <c r="K33" i="20" a="1"/>
  <c r="K33" i="20" s="1"/>
  <c r="K17" i="20" a="1"/>
  <c r="K17" i="20" s="1"/>
  <c r="N20" i="20"/>
  <c r="K48" i="20" a="1"/>
  <c r="K48" i="20" s="1"/>
  <c r="K32" i="20" a="1"/>
  <c r="K32" i="20" s="1"/>
  <c r="K16" i="20" a="1"/>
  <c r="K16" i="20" s="1"/>
  <c r="L26" i="20" a="1"/>
  <c r="L26" i="20" s="1"/>
  <c r="L10" i="20" a="1"/>
  <c r="L10" i="20" s="1"/>
  <c r="N10" i="20" s="1"/>
  <c r="K15" i="20" a="1"/>
  <c r="K15" i="20" s="1"/>
  <c r="N46" i="20"/>
  <c r="N4" i="20"/>
  <c r="L25" i="20" a="1"/>
  <c r="L25" i="20" s="1"/>
  <c r="N25" i="20" s="1"/>
  <c r="L9" i="20" a="1"/>
  <c r="L9" i="20" s="1"/>
  <c r="N9" i="20" s="1"/>
  <c r="K30" i="20" a="1"/>
  <c r="K30" i="20" s="1"/>
  <c r="K14" i="20" a="1"/>
  <c r="K14" i="20" s="1"/>
  <c r="N31" i="20"/>
  <c r="K45" i="20" a="1"/>
  <c r="K45" i="20" s="1"/>
  <c r="K29" i="20" a="1"/>
  <c r="K29" i="20" s="1"/>
  <c r="K13" i="20" a="1"/>
  <c r="K13" i="20" s="1"/>
  <c r="N30" i="20"/>
  <c r="K44" i="20" a="1"/>
  <c r="K44" i="20" s="1"/>
  <c r="K28" i="20" a="1"/>
  <c r="K28" i="20" s="1"/>
  <c r="K12" i="20" a="1"/>
  <c r="K12" i="20" s="1"/>
  <c r="K43" i="20" a="1"/>
  <c r="K43" i="20" s="1"/>
  <c r="K27" i="20" a="1"/>
  <c r="K27" i="20" s="1"/>
  <c r="K11" i="20" a="1"/>
  <c r="K11" i="20" s="1"/>
  <c r="K26" i="20" a="1"/>
  <c r="K26" i="20" s="1"/>
  <c r="K10" i="20" a="1"/>
  <c r="K10" i="20" s="1"/>
  <c r="K41" i="20" a="1"/>
  <c r="K41" i="20" s="1"/>
  <c r="K25" i="20" a="1"/>
  <c r="K25" i="20" s="1"/>
  <c r="K9" i="20" a="1"/>
  <c r="K9" i="20" s="1"/>
  <c r="L3" i="20" a="1"/>
  <c r="L3" i="20" s="1"/>
  <c r="K40" i="20" a="1"/>
  <c r="K40" i="20" s="1"/>
  <c r="N50" i="20"/>
  <c r="N36" i="20"/>
  <c r="N21" i="20"/>
  <c r="N7" i="20"/>
  <c r="N49" i="20"/>
  <c r="N35" i="20"/>
  <c r="N6" i="20"/>
  <c r="N47" i="20"/>
  <c r="N33" i="20"/>
  <c r="N19" i="20"/>
  <c r="N17" i="20"/>
  <c r="N3" i="20"/>
  <c r="N16" i="20"/>
  <c r="N44" i="20"/>
  <c r="N29" i="20"/>
  <c r="N15" i="20"/>
  <c r="N2" i="20"/>
  <c r="N43" i="20"/>
  <c r="N14" i="20"/>
  <c r="N34" i="20"/>
  <c r="N32" i="20"/>
  <c r="N13" i="20"/>
  <c r="N45" i="20"/>
  <c r="N28" i="20"/>
  <c r="N41" i="20"/>
  <c r="N27" i="20"/>
  <c r="N48" i="20"/>
  <c r="N18" i="20"/>
  <c r="N42" i="20"/>
  <c r="N54" i="20"/>
  <c r="N40" i="20"/>
  <c r="N26" i="20"/>
  <c r="N12" i="20"/>
  <c r="K2" i="20" a="1"/>
  <c r="K2" i="20" s="1"/>
  <c r="O8" i="20" a="1"/>
  <c r="O8" i="20" s="1"/>
  <c r="O7" i="20" a="1"/>
  <c r="O7" i="20" s="1"/>
  <c r="K8" i="20" a="1"/>
  <c r="K8" i="20" s="1"/>
  <c r="O6" i="20" a="1"/>
  <c r="O6" i="20" s="1"/>
  <c r="K7" i="20" a="1"/>
  <c r="K7" i="20" s="1"/>
  <c r="O13" i="20" a="1"/>
  <c r="O13" i="20" s="1"/>
  <c r="O5" i="20" a="1"/>
  <c r="O5" i="20" s="1"/>
  <c r="K6" i="20" a="1"/>
  <c r="K6" i="20" s="1"/>
  <c r="O12" i="20" a="1"/>
  <c r="O12" i="20" s="1"/>
  <c r="O4" i="20" a="1"/>
  <c r="O4" i="20" s="1"/>
  <c r="K5" i="20" a="1"/>
  <c r="K5" i="20" s="1"/>
  <c r="O3" i="20" a="1"/>
  <c r="O3" i="20" s="1"/>
  <c r="K4" i="20" a="1"/>
  <c r="K4" i="20" s="1"/>
  <c r="O10" i="20" a="1"/>
  <c r="O10" i="20" s="1"/>
  <c r="O2" i="20" a="1"/>
  <c r="O2" i="20" s="1"/>
  <c r="K3" i="20" a="1"/>
  <c r="K3" i="20" s="1"/>
  <c r="P8" i="18" a="1"/>
  <c r="P8" i="18" s="1"/>
  <c r="R8" i="18" s="1"/>
  <c r="S9" i="18" a="1"/>
  <c r="S9" i="18" s="1"/>
  <c r="R9" i="18"/>
  <c r="T4" i="18" a="1"/>
  <c r="T4" i="18" s="1"/>
  <c r="O5" i="18" a="1"/>
  <c r="O5" i="18" s="1"/>
  <c r="O6" i="18" a="1"/>
  <c r="O6" i="18" s="1"/>
  <c r="S3" i="18" a="1"/>
  <c r="S3" i="18" s="1"/>
  <c r="U4" i="18"/>
  <c r="U2" i="18"/>
  <c r="U14" i="18"/>
  <c r="U10" i="18"/>
  <c r="U11" i="18"/>
  <c r="U8" i="18"/>
  <c r="U13" i="18"/>
  <c r="U7" i="18"/>
  <c r="U3" i="18"/>
  <c r="U12" i="18"/>
  <c r="U6" i="18"/>
  <c r="U5" i="18"/>
  <c r="T11" i="18" a="1"/>
  <c r="T11" i="18" s="1"/>
  <c r="T3" i="18" a="1"/>
  <c r="T3" i="18" s="1"/>
  <c r="S8" i="18" a="1"/>
  <c r="S8" i="18" s="1"/>
  <c r="P7" i="18" a="1"/>
  <c r="P7" i="18" s="1"/>
  <c r="R7" i="18" s="1"/>
  <c r="O12" i="18" a="1"/>
  <c r="O12" i="18" s="1"/>
  <c r="O4" i="18" a="1"/>
  <c r="O4" i="18" s="1"/>
  <c r="T9" i="18" a="1"/>
  <c r="T9" i="18" s="1"/>
  <c r="S14" i="18" a="1"/>
  <c r="S14" i="18" s="1"/>
  <c r="S6" i="18" a="1"/>
  <c r="S6" i="18" s="1"/>
  <c r="P6" i="18" a="1"/>
  <c r="P6" i="18" s="1"/>
  <c r="R6" i="18" s="1"/>
  <c r="O11" i="18" a="1"/>
  <c r="O11" i="18" s="1"/>
  <c r="O3" i="18" a="1"/>
  <c r="O3" i="18" s="1"/>
  <c r="P14" i="18" a="1"/>
  <c r="P14" i="18" s="1"/>
  <c r="R14" i="18" s="1"/>
  <c r="T8" i="18" a="1"/>
  <c r="T8" i="18" s="1"/>
  <c r="S13" i="18" a="1"/>
  <c r="S13" i="18" s="1"/>
  <c r="S5" i="18" a="1"/>
  <c r="S5" i="18" s="1"/>
  <c r="P13" i="18" a="1"/>
  <c r="P13" i="18" s="1"/>
  <c r="R13" i="18" s="1"/>
  <c r="P5" i="18" a="1"/>
  <c r="P5" i="18" s="1"/>
  <c r="R5" i="18" s="1"/>
  <c r="O10" i="18" a="1"/>
  <c r="O10" i="18" s="1"/>
  <c r="O2" i="18" a="1"/>
  <c r="O2" i="18" s="1"/>
  <c r="T7" i="18" a="1"/>
  <c r="T7" i="18" s="1"/>
  <c r="S12" i="18" a="1"/>
  <c r="S12" i="18" s="1"/>
  <c r="S4" i="18" a="1"/>
  <c r="S4" i="18" s="1"/>
  <c r="P12" i="18" a="1"/>
  <c r="P12" i="18" s="1"/>
  <c r="R12" i="18" s="1"/>
  <c r="P4" i="18" a="1"/>
  <c r="P4" i="18" s="1"/>
  <c r="R4" i="18" s="1"/>
  <c r="O9" i="18" a="1"/>
  <c r="O9" i="18" s="1"/>
  <c r="T14" i="18" a="1"/>
  <c r="T14" i="18" s="1"/>
  <c r="T6" i="18" a="1"/>
  <c r="T6" i="18" s="1"/>
  <c r="S11" i="18" a="1"/>
  <c r="S11" i="18" s="1"/>
  <c r="P11" i="18" a="1"/>
  <c r="P11" i="18" s="1"/>
  <c r="R11" i="18" s="1"/>
  <c r="P3" i="18" a="1"/>
  <c r="P3" i="18" s="1"/>
  <c r="R3" i="18" s="1"/>
  <c r="O8" i="18" a="1"/>
  <c r="O8" i="18" s="1"/>
  <c r="T5" i="18" a="1"/>
  <c r="T5" i="18" s="1"/>
  <c r="S10" i="18" a="1"/>
  <c r="S10" i="18" s="1"/>
  <c r="S2" i="18" a="1"/>
  <c r="S2" i="18" s="1"/>
  <c r="P10" i="18" a="1"/>
  <c r="P10" i="18" s="1"/>
  <c r="R10" i="18" s="1"/>
  <c r="P2" i="18" a="1"/>
  <c r="P2" i="18" s="1"/>
  <c r="R2" i="18" s="1"/>
  <c r="O7" i="18" a="1"/>
  <c r="O7" i="18" s="1"/>
  <c r="T12" i="18" a="1"/>
  <c r="T12" i="18" s="1"/>
  <c r="U4" i="17" a="1"/>
  <c r="U4" i="17" s="1"/>
  <c r="X18" i="17" a="1"/>
  <c r="X18" i="17" s="1"/>
  <c r="Y18" i="17" s="1"/>
  <c r="V30" i="17" a="1"/>
  <c r="V30" i="17" s="1"/>
  <c r="V14" i="17" a="1"/>
  <c r="V14" i="17" s="1"/>
  <c r="U39" i="17" a="1"/>
  <c r="U39" i="17" s="1"/>
  <c r="U23" i="17" a="1"/>
  <c r="U23" i="17" s="1"/>
  <c r="U7" i="17" a="1"/>
  <c r="U7" i="17" s="1"/>
  <c r="T31" i="17" a="1"/>
  <c r="T31" i="17" s="1"/>
  <c r="T15" i="17" a="1"/>
  <c r="T15" i="17" s="1"/>
  <c r="S16" i="17" a="1"/>
  <c r="S16" i="17" s="1"/>
  <c r="N33" i="17" a="1"/>
  <c r="N33" i="17" s="1"/>
  <c r="N17" i="17" a="1"/>
  <c r="N17" i="17" s="1"/>
  <c r="N15" i="17" a="1"/>
  <c r="N15" i="17" s="1"/>
  <c r="X34" i="17" a="1"/>
  <c r="X34" i="17" s="1"/>
  <c r="Y34" i="17" s="1"/>
  <c r="Q34" i="17" s="1"/>
  <c r="X4" i="17" a="1"/>
  <c r="X4" i="17" s="1"/>
  <c r="X33" i="17" a="1"/>
  <c r="X33" i="17" s="1"/>
  <c r="X17" i="17" a="1"/>
  <c r="X17" i="17" s="1"/>
  <c r="X3" i="17" a="1"/>
  <c r="X3" i="17" s="1"/>
  <c r="V29" i="17" a="1"/>
  <c r="V29" i="17" s="1"/>
  <c r="V13" i="17" a="1"/>
  <c r="V13" i="17" s="1"/>
  <c r="U38" i="17" a="1"/>
  <c r="U38" i="17" s="1"/>
  <c r="U22" i="17" a="1"/>
  <c r="U22" i="17" s="1"/>
  <c r="U6" i="17" a="1"/>
  <c r="U6" i="17" s="1"/>
  <c r="T30" i="17" a="1"/>
  <c r="T30" i="17" s="1"/>
  <c r="S40" i="17" a="1"/>
  <c r="S40" i="17" s="1"/>
  <c r="S28" i="17" a="1"/>
  <c r="S28" i="17" s="1"/>
  <c r="S15" i="17" a="1"/>
  <c r="S15" i="17" s="1"/>
  <c r="R37" i="17" a="1"/>
  <c r="R37" i="17" s="1"/>
  <c r="T28" i="17" a="1"/>
  <c r="T28" i="17" s="1"/>
  <c r="T12" i="17" a="1"/>
  <c r="T12" i="17" s="1"/>
  <c r="S38" i="17" a="1"/>
  <c r="S38" i="17" s="1"/>
  <c r="S27" i="17" a="1"/>
  <c r="S27" i="17" s="1"/>
  <c r="S12" i="17" a="1"/>
  <c r="S12" i="17" s="1"/>
  <c r="R35" i="17" a="1"/>
  <c r="R35" i="17" s="1"/>
  <c r="O39" i="17" a="1"/>
  <c r="O39" i="17" s="1"/>
  <c r="O8" i="17" a="1"/>
  <c r="O8" i="17" s="1"/>
  <c r="X41" i="17" a="1"/>
  <c r="X41" i="17" s="1"/>
  <c r="U3" i="17" a="1"/>
  <c r="U3" i="17" s="1"/>
  <c r="T27" i="17" a="1"/>
  <c r="T27" i="17" s="1"/>
  <c r="T11" i="17" a="1"/>
  <c r="T11" i="17" s="1"/>
  <c r="S37" i="17" a="1"/>
  <c r="S37" i="17" s="1"/>
  <c r="S26" i="17" a="1"/>
  <c r="S26" i="17" s="1"/>
  <c r="S11" i="17" a="1"/>
  <c r="S11" i="17" s="1"/>
  <c r="R28" i="17" a="1"/>
  <c r="R28" i="17" s="1"/>
  <c r="O37" i="17" a="1"/>
  <c r="O37" i="17" s="1"/>
  <c r="X42" i="17" a="1"/>
  <c r="X42" i="17" s="1"/>
  <c r="Y42" i="17" s="1"/>
  <c r="X31" i="17" a="1"/>
  <c r="X31" i="17" s="1"/>
  <c r="X14" i="17" a="1"/>
  <c r="X14" i="17" s="1"/>
  <c r="V41" i="17" a="1"/>
  <c r="V41" i="17" s="1"/>
  <c r="V25" i="17" a="1"/>
  <c r="V25" i="17" s="1"/>
  <c r="V9" i="17" a="1"/>
  <c r="V9" i="17" s="1"/>
  <c r="U34" i="17" a="1"/>
  <c r="U34" i="17" s="1"/>
  <c r="U18" i="17" a="1"/>
  <c r="U18" i="17" s="1"/>
  <c r="U2" i="17" a="1"/>
  <c r="U2" i="17" s="1"/>
  <c r="T26" i="17" a="1"/>
  <c r="T26" i="17" s="1"/>
  <c r="T10" i="17" a="1"/>
  <c r="T10" i="17" s="1"/>
  <c r="S25" i="17" a="1"/>
  <c r="S25" i="17" s="1"/>
  <c r="S10" i="17" a="1"/>
  <c r="S10" i="17" s="1"/>
  <c r="R27" i="17" a="1"/>
  <c r="R27" i="17" s="1"/>
  <c r="O36" i="17" a="1"/>
  <c r="O36" i="17" s="1"/>
  <c r="V26" i="17" a="1"/>
  <c r="V26" i="17" s="1"/>
  <c r="V40" i="17" a="1"/>
  <c r="V40" i="17" s="1"/>
  <c r="V24" i="17" a="1"/>
  <c r="V24" i="17" s="1"/>
  <c r="V8" i="17" a="1"/>
  <c r="V8" i="17" s="1"/>
  <c r="U33" i="17" a="1"/>
  <c r="U33" i="17" s="1"/>
  <c r="U17" i="17" a="1"/>
  <c r="U17" i="17" s="1"/>
  <c r="T42" i="17" a="1"/>
  <c r="T42" i="17" s="1"/>
  <c r="T25" i="17" a="1"/>
  <c r="T25" i="17" s="1"/>
  <c r="T9" i="17" a="1"/>
  <c r="T9" i="17" s="1"/>
  <c r="S36" i="17" a="1"/>
  <c r="S36" i="17" s="1"/>
  <c r="S24" i="17" a="1"/>
  <c r="S24" i="17" s="1"/>
  <c r="S9" i="17" a="1"/>
  <c r="S9" i="17" s="1"/>
  <c r="R26" i="17" a="1"/>
  <c r="R26" i="17" s="1"/>
  <c r="O23" i="17" a="1"/>
  <c r="O23" i="17" s="1"/>
  <c r="V11" i="17" a="1"/>
  <c r="V11" i="17" s="1"/>
  <c r="X12" i="17" a="1"/>
  <c r="X12" i="17" s="1"/>
  <c r="V23" i="17" a="1"/>
  <c r="V23" i="17" s="1"/>
  <c r="V7" i="17" a="1"/>
  <c r="V7" i="17" s="1"/>
  <c r="U32" i="17" a="1"/>
  <c r="U32" i="17" s="1"/>
  <c r="U16" i="17" a="1"/>
  <c r="U16" i="17" s="1"/>
  <c r="T41" i="17" a="1"/>
  <c r="T41" i="17" s="1"/>
  <c r="T23" i="17" a="1"/>
  <c r="T23" i="17" s="1"/>
  <c r="T8" i="17" a="1"/>
  <c r="T8" i="17" s="1"/>
  <c r="S23" i="17" a="1"/>
  <c r="S23" i="17" s="1"/>
  <c r="S7" i="17" a="1"/>
  <c r="S7" i="17" s="1"/>
  <c r="R22" i="17" a="1"/>
  <c r="R22" i="17" s="1"/>
  <c r="O21" i="17" a="1"/>
  <c r="O21" i="17" s="1"/>
  <c r="V42" i="17" a="1"/>
  <c r="V42" i="17" s="1"/>
  <c r="X39" i="17" a="1"/>
  <c r="X39" i="17" s="1"/>
  <c r="X26" i="17" a="1"/>
  <c r="X26" i="17" s="1"/>
  <c r="Y26" i="17" s="1"/>
  <c r="X11" i="17" a="1"/>
  <c r="X11" i="17" s="1"/>
  <c r="V38" i="17" a="1"/>
  <c r="V38" i="17" s="1"/>
  <c r="V22" i="17" a="1"/>
  <c r="V22" i="17" s="1"/>
  <c r="V6" i="17" a="1"/>
  <c r="V6" i="17" s="1"/>
  <c r="U31" i="17" a="1"/>
  <c r="U31" i="17" s="1"/>
  <c r="U15" i="17" a="1"/>
  <c r="U15" i="17" s="1"/>
  <c r="T39" i="17" a="1"/>
  <c r="T39" i="17" s="1"/>
  <c r="T22" i="17" a="1"/>
  <c r="T22" i="17" s="1"/>
  <c r="S35" i="17" a="1"/>
  <c r="S35" i="17" s="1"/>
  <c r="S6" i="17" a="1"/>
  <c r="S6" i="17" s="1"/>
  <c r="R19" i="17" a="1"/>
  <c r="R19" i="17" s="1"/>
  <c r="O7" i="17" a="1"/>
  <c r="O7" i="17" s="1"/>
  <c r="V10" i="17" a="1"/>
  <c r="V10" i="17" s="1"/>
  <c r="V39" i="17" a="1"/>
  <c r="V39" i="17" s="1"/>
  <c r="V5" i="17" a="1"/>
  <c r="V5" i="17" s="1"/>
  <c r="U30" i="17" a="1"/>
  <c r="U30" i="17" s="1"/>
  <c r="U14" i="17" a="1"/>
  <c r="U14" i="17" s="1"/>
  <c r="T38" i="17" a="1"/>
  <c r="T38" i="17" s="1"/>
  <c r="T21" i="17" a="1"/>
  <c r="T21" i="17" s="1"/>
  <c r="T7" i="17" a="1"/>
  <c r="T7" i="17" s="1"/>
  <c r="S34" i="17" a="1"/>
  <c r="S34" i="17" s="1"/>
  <c r="S22" i="17" a="1"/>
  <c r="S22" i="17" s="1"/>
  <c r="S5" i="17" a="1"/>
  <c r="S5" i="17" s="1"/>
  <c r="R10" i="17" a="1"/>
  <c r="R10" i="17" s="1"/>
  <c r="O5" i="17" a="1"/>
  <c r="O5" i="17" s="1"/>
  <c r="V27" i="17" a="1"/>
  <c r="V27" i="17" s="1"/>
  <c r="U35" i="17" a="1"/>
  <c r="U35" i="17" s="1"/>
  <c r="X27" i="17" a="1"/>
  <c r="X27" i="17" s="1"/>
  <c r="V21" i="17" a="1"/>
  <c r="V21" i="17" s="1"/>
  <c r="X24" i="17" a="1"/>
  <c r="X24" i="17" s="1"/>
  <c r="X9" i="17" a="1"/>
  <c r="X9" i="17" s="1"/>
  <c r="V36" i="17" a="1"/>
  <c r="V36" i="17" s="1"/>
  <c r="V20" i="17" a="1"/>
  <c r="V20" i="17" s="1"/>
  <c r="V4" i="17" a="1"/>
  <c r="V4" i="17" s="1"/>
  <c r="U29" i="17" a="1"/>
  <c r="U29" i="17" s="1"/>
  <c r="U13" i="17" a="1"/>
  <c r="U13" i="17" s="1"/>
  <c r="T37" i="17" a="1"/>
  <c r="T37" i="17" s="1"/>
  <c r="T20" i="17" a="1"/>
  <c r="T20" i="17" s="1"/>
  <c r="T6" i="17" a="1"/>
  <c r="T6" i="17" s="1"/>
  <c r="S33" i="17" a="1"/>
  <c r="S33" i="17" s="1"/>
  <c r="S21" i="17" a="1"/>
  <c r="S21" i="17" s="1"/>
  <c r="S4" i="17" a="1"/>
  <c r="S4" i="17" s="1"/>
  <c r="N32" i="17" a="1"/>
  <c r="N32" i="17" s="1"/>
  <c r="U36" i="17" a="1"/>
  <c r="U36" i="17" s="1"/>
  <c r="X28" i="17" a="1"/>
  <c r="X28" i="17" s="1"/>
  <c r="V37" i="17" a="1"/>
  <c r="V37" i="17" s="1"/>
  <c r="X37" i="17" a="1"/>
  <c r="X37" i="17" s="1"/>
  <c r="Y37" i="17" s="1"/>
  <c r="Q37" i="17" s="1"/>
  <c r="X23" i="17" a="1"/>
  <c r="X23" i="17" s="1"/>
  <c r="V35" i="17" a="1"/>
  <c r="V35" i="17" s="1"/>
  <c r="V19" i="17" a="1"/>
  <c r="V19" i="17" s="1"/>
  <c r="V3" i="17" a="1"/>
  <c r="V3" i="17" s="1"/>
  <c r="U28" i="17" a="1"/>
  <c r="U28" i="17" s="1"/>
  <c r="U12" i="17" a="1"/>
  <c r="U12" i="17" s="1"/>
  <c r="T36" i="17" a="1"/>
  <c r="T36" i="17" s="1"/>
  <c r="T5" i="17" a="1"/>
  <c r="T5" i="17" s="1"/>
  <c r="S20" i="17" a="1"/>
  <c r="S20" i="17" s="1"/>
  <c r="S3" i="17" a="1"/>
  <c r="S3" i="17" s="1"/>
  <c r="N30" i="17" a="1"/>
  <c r="N30" i="17" s="1"/>
  <c r="X30" i="17" a="1"/>
  <c r="X30" i="17" s="1"/>
  <c r="X15" i="17" a="1"/>
  <c r="X15" i="17" s="1"/>
  <c r="X13" i="17" a="1"/>
  <c r="X13" i="17" s="1"/>
  <c r="X22" i="17" a="1"/>
  <c r="X22" i="17" s="1"/>
  <c r="V34" i="17" a="1"/>
  <c r="V34" i="17" s="1"/>
  <c r="V18" i="17" a="1"/>
  <c r="V18" i="17" s="1"/>
  <c r="V2" i="17" a="1"/>
  <c r="V2" i="17" s="1"/>
  <c r="U27" i="17" a="1"/>
  <c r="U27" i="17" s="1"/>
  <c r="U11" i="17" a="1"/>
  <c r="U11" i="17" s="1"/>
  <c r="T35" i="17" a="1"/>
  <c r="T35" i="17" s="1"/>
  <c r="T19" i="17" a="1"/>
  <c r="T19" i="17" s="1"/>
  <c r="T4" i="17" a="1"/>
  <c r="T4" i="17" s="1"/>
  <c r="S32" i="17" a="1"/>
  <c r="S32" i="17" s="1"/>
  <c r="S19" i="17" a="1"/>
  <c r="S19" i="17" s="1"/>
  <c r="S2" i="17" a="1"/>
  <c r="S2" i="17" s="1"/>
  <c r="N14" i="17" a="1"/>
  <c r="N14" i="17" s="1"/>
  <c r="X40" i="17" a="1"/>
  <c r="X40" i="17" s="1"/>
  <c r="X38" i="17" a="1"/>
  <c r="X38" i="17" s="1"/>
  <c r="X8" i="17" a="1"/>
  <c r="X8" i="17" s="1"/>
  <c r="X7" i="17" a="1"/>
  <c r="X7" i="17" s="1"/>
  <c r="V17" i="17" a="1"/>
  <c r="V17" i="17" s="1"/>
  <c r="U42" i="17" a="1"/>
  <c r="U42" i="17" s="1"/>
  <c r="U26" i="17" a="1"/>
  <c r="U26" i="17" s="1"/>
  <c r="U10" i="17" a="1"/>
  <c r="U10" i="17" s="1"/>
  <c r="T34" i="17" a="1"/>
  <c r="T34" i="17" s="1"/>
  <c r="T18" i="17" a="1"/>
  <c r="T18" i="17" s="1"/>
  <c r="T3" i="17" a="1"/>
  <c r="T3" i="17" s="1"/>
  <c r="S31" i="17" a="1"/>
  <c r="S31" i="17" s="1"/>
  <c r="S18" i="17" a="1"/>
  <c r="S18" i="17" s="1"/>
  <c r="R42" i="17" a="1"/>
  <c r="R42" i="17" s="1"/>
  <c r="U20" i="17" a="1"/>
  <c r="U20" i="17" s="1"/>
  <c r="X29" i="17" a="1"/>
  <c r="X29" i="17" s="1"/>
  <c r="X10" i="17" a="1"/>
  <c r="X10" i="17" s="1"/>
  <c r="Y10" i="17" s="1"/>
  <c r="X21" i="17" a="1"/>
  <c r="X21" i="17" s="1"/>
  <c r="V33" i="17" a="1"/>
  <c r="V33" i="17" s="1"/>
  <c r="X20" i="17" a="1"/>
  <c r="X20" i="17" s="1"/>
  <c r="X6" i="17" a="1"/>
  <c r="X6" i="17" s="1"/>
  <c r="Y6" i="17" s="1"/>
  <c r="Q6" i="17" s="1"/>
  <c r="V32" i="17" a="1"/>
  <c r="V32" i="17" s="1"/>
  <c r="V16" i="17" a="1"/>
  <c r="V16" i="17" s="1"/>
  <c r="U41" i="17" a="1"/>
  <c r="U41" i="17" s="1"/>
  <c r="U25" i="17" a="1"/>
  <c r="U25" i="17" s="1"/>
  <c r="U9" i="17" a="1"/>
  <c r="U9" i="17" s="1"/>
  <c r="T33" i="17" a="1"/>
  <c r="T33" i="17" s="1"/>
  <c r="T17" i="17" a="1"/>
  <c r="T17" i="17" s="1"/>
  <c r="T2" i="17" a="1"/>
  <c r="T2" i="17" s="1"/>
  <c r="S17" i="17" a="1"/>
  <c r="S17" i="17" s="1"/>
  <c r="X16" i="17" a="1"/>
  <c r="X16" i="17" s="1"/>
  <c r="U19" i="17" a="1"/>
  <c r="U19" i="17" s="1"/>
  <c r="X25" i="17" a="1"/>
  <c r="X25" i="17" s="1"/>
  <c r="X36" i="17" a="1"/>
  <c r="X36" i="17" s="1"/>
  <c r="X35" i="17" a="1"/>
  <c r="X35" i="17" s="1"/>
  <c r="X19" i="17" a="1"/>
  <c r="X19" i="17" s="1"/>
  <c r="X5" i="17" a="1"/>
  <c r="X5" i="17" s="1"/>
  <c r="Y5" i="17" s="1"/>
  <c r="Q5" i="17" s="1"/>
  <c r="V31" i="17" a="1"/>
  <c r="V31" i="17" s="1"/>
  <c r="V15" i="17" a="1"/>
  <c r="V15" i="17" s="1"/>
  <c r="U40" i="17" a="1"/>
  <c r="U40" i="17" s="1"/>
  <c r="U24" i="17" a="1"/>
  <c r="U24" i="17" s="1"/>
  <c r="U8" i="17" a="1"/>
  <c r="U8" i="17" s="1"/>
  <c r="T32" i="17" a="1"/>
  <c r="T32" i="17" s="1"/>
  <c r="T16" i="17" a="1"/>
  <c r="T16" i="17" s="1"/>
  <c r="N16" i="17" a="1"/>
  <c r="N16" i="17" s="1"/>
  <c r="R29" i="17" a="1"/>
  <c r="R29" i="17" s="1"/>
  <c r="R20" i="17" a="1"/>
  <c r="R20" i="17" s="1"/>
  <c r="R11" i="17" a="1"/>
  <c r="R11" i="17" s="1"/>
  <c r="O38" i="17" a="1"/>
  <c r="O38" i="17" s="1"/>
  <c r="O22" i="17" a="1"/>
  <c r="O22" i="17" s="1"/>
  <c r="O6" i="17" a="1"/>
  <c r="O6" i="17" s="1"/>
  <c r="N31" i="17" a="1"/>
  <c r="N31" i="17" s="1"/>
  <c r="R2" i="17" a="1"/>
  <c r="R2" i="17" s="1"/>
  <c r="O20" i="17" a="1"/>
  <c r="O20" i="17" s="1"/>
  <c r="O4" i="17" a="1"/>
  <c r="O4" i="17" s="1"/>
  <c r="N29" i="17" a="1"/>
  <c r="N29" i="17" s="1"/>
  <c r="N13" i="17" a="1"/>
  <c r="N13" i="17" s="1"/>
  <c r="S14" i="17" a="1"/>
  <c r="S14" i="17" s="1"/>
  <c r="O35" i="17" a="1"/>
  <c r="O35" i="17" s="1"/>
  <c r="O19" i="17" a="1"/>
  <c r="O19" i="17" s="1"/>
  <c r="O3" i="17" a="1"/>
  <c r="O3" i="17" s="1"/>
  <c r="N28" i="17" a="1"/>
  <c r="N28" i="17" s="1"/>
  <c r="N12" i="17" a="1"/>
  <c r="N12" i="17" s="1"/>
  <c r="R18" i="17" a="1"/>
  <c r="R18" i="17" s="1"/>
  <c r="O34" i="17" a="1"/>
  <c r="O34" i="17" s="1"/>
  <c r="O18" i="17" a="1"/>
  <c r="O18" i="17" s="1"/>
  <c r="Q18" i="17" s="1"/>
  <c r="O2" i="17" a="1"/>
  <c r="O2" i="17" s="1"/>
  <c r="Q2" i="17" s="1"/>
  <c r="N27" i="17" a="1"/>
  <c r="N27" i="17" s="1"/>
  <c r="N11" i="17" a="1"/>
  <c r="N11" i="17" s="1"/>
  <c r="N5" i="17" a="1"/>
  <c r="N5" i="17" s="1"/>
  <c r="O33" i="17" a="1"/>
  <c r="O33" i="17" s="1"/>
  <c r="O17" i="17" a="1"/>
  <c r="O17" i="17" s="1"/>
  <c r="N42" i="17" a="1"/>
  <c r="N42" i="17" s="1"/>
  <c r="N26" i="17" a="1"/>
  <c r="N26" i="17" s="1"/>
  <c r="N10" i="17" a="1"/>
  <c r="N10" i="17" s="1"/>
  <c r="R5" i="17" a="1"/>
  <c r="R5" i="17" s="1"/>
  <c r="R17" i="17" a="1"/>
  <c r="R17" i="17" s="1"/>
  <c r="O32" i="17" a="1"/>
  <c r="O32" i="17" s="1"/>
  <c r="O16" i="17" a="1"/>
  <c r="O16" i="17" s="1"/>
  <c r="N41" i="17" a="1"/>
  <c r="N41" i="17" s="1"/>
  <c r="N25" i="17" a="1"/>
  <c r="N25" i="17" s="1"/>
  <c r="N3" i="17" a="1"/>
  <c r="N3" i="17" s="1"/>
  <c r="T40" i="17" a="1"/>
  <c r="T40" i="17" s="1"/>
  <c r="T24" i="17" a="1"/>
  <c r="T24" i="17" s="1"/>
  <c r="S41" i="17" a="1"/>
  <c r="S41" i="17" s="1"/>
  <c r="R16" i="17" a="1"/>
  <c r="R16" i="17" s="1"/>
  <c r="O31" i="17" a="1"/>
  <c r="O31" i="17" s="1"/>
  <c r="O15" i="17" a="1"/>
  <c r="O15" i="17" s="1"/>
  <c r="N40" i="17" a="1"/>
  <c r="N40" i="17" s="1"/>
  <c r="N24" i="17" a="1"/>
  <c r="N24" i="17" s="1"/>
  <c r="R34" i="17" a="1"/>
  <c r="R34" i="17" s="1"/>
  <c r="R25" i="17" a="1"/>
  <c r="R25" i="17" s="1"/>
  <c r="O30" i="17" a="1"/>
  <c r="O30" i="17" s="1"/>
  <c r="O14" i="17" a="1"/>
  <c r="O14" i="17" s="1"/>
  <c r="N39" i="17" a="1"/>
  <c r="N39" i="17" s="1"/>
  <c r="N23" i="17" a="1"/>
  <c r="N23" i="17" s="1"/>
  <c r="R24" i="17" a="1"/>
  <c r="R24" i="17" s="1"/>
  <c r="R15" i="17" a="1"/>
  <c r="R15" i="17" s="1"/>
  <c r="O29" i="17" a="1"/>
  <c r="O29" i="17" s="1"/>
  <c r="O13" i="17" a="1"/>
  <c r="O13" i="17" s="1"/>
  <c r="N38" i="17" a="1"/>
  <c r="N38" i="17" s="1"/>
  <c r="N22" i="17" a="1"/>
  <c r="N22" i="17" s="1"/>
  <c r="R33" i="17" a="1"/>
  <c r="R33" i="17" s="1"/>
  <c r="R14" i="17" a="1"/>
  <c r="R14" i="17" s="1"/>
  <c r="O28" i="17" a="1"/>
  <c r="O28" i="17" s="1"/>
  <c r="O12" i="17" a="1"/>
  <c r="O12" i="17" s="1"/>
  <c r="N37" i="17" a="1"/>
  <c r="N37" i="17" s="1"/>
  <c r="N21" i="17" a="1"/>
  <c r="N21" i="17" s="1"/>
  <c r="R32" i="17" a="1"/>
  <c r="R32" i="17" s="1"/>
  <c r="R23" i="17" a="1"/>
  <c r="R23" i="17" s="1"/>
  <c r="O27" i="17" a="1"/>
  <c r="O27" i="17" s="1"/>
  <c r="O11" i="17" a="1"/>
  <c r="O11" i="17" s="1"/>
  <c r="N36" i="17" a="1"/>
  <c r="N36" i="17" s="1"/>
  <c r="N20" i="17" a="1"/>
  <c r="N20" i="17" s="1"/>
  <c r="R13" i="17" a="1"/>
  <c r="R13" i="17" s="1"/>
  <c r="O42" i="17" a="1"/>
  <c r="O42" i="17" s="1"/>
  <c r="O26" i="17" a="1"/>
  <c r="O26" i="17" s="1"/>
  <c r="Q26" i="17" s="1"/>
  <c r="O10" i="17" a="1"/>
  <c r="O10" i="17" s="1"/>
  <c r="Q10" i="17" s="1"/>
  <c r="N35" i="17" a="1"/>
  <c r="N35" i="17" s="1"/>
  <c r="N19" i="17" a="1"/>
  <c r="N19" i="17" s="1"/>
  <c r="R40" i="17" a="1"/>
  <c r="R40" i="17" s="1"/>
  <c r="R31" i="17" a="1"/>
  <c r="R31" i="17" s="1"/>
  <c r="O41" i="17" a="1"/>
  <c r="O41" i="17" s="1"/>
  <c r="O25" i="17" a="1"/>
  <c r="O25" i="17" s="1"/>
  <c r="O9" i="17" a="1"/>
  <c r="O9" i="17" s="1"/>
  <c r="N34" i="17" a="1"/>
  <c r="N34" i="17" s="1"/>
  <c r="N18" i="17" a="1"/>
  <c r="N18" i="17" s="1"/>
  <c r="S8" i="17" a="1"/>
  <c r="S8" i="17" s="1"/>
  <c r="R30" i="17" a="1"/>
  <c r="R30" i="17" s="1"/>
  <c r="R12" i="17" a="1"/>
  <c r="R12" i="17" s="1"/>
  <c r="O40" i="17" a="1"/>
  <c r="O40" i="17" s="1"/>
  <c r="O24" i="17" a="1"/>
  <c r="O24" i="17" s="1"/>
  <c r="W35" i="17"/>
  <c r="Y35" i="17"/>
  <c r="Q35" i="17" s="1"/>
  <c r="W21" i="17"/>
  <c r="Y21" i="17"/>
  <c r="Q21" i="17" s="1"/>
  <c r="Y7" i="17"/>
  <c r="Q7" i="17" s="1"/>
  <c r="W7" i="17"/>
  <c r="Y20" i="17"/>
  <c r="W20" i="17"/>
  <c r="W6" i="17"/>
  <c r="W32" i="17"/>
  <c r="Y32" i="17"/>
  <c r="Q32" i="17" s="1"/>
  <c r="W31" i="17"/>
  <c r="Y31" i="17"/>
  <c r="Q31" i="17" s="1"/>
  <c r="W15" i="17"/>
  <c r="Y15" i="17"/>
  <c r="Q15" i="17" s="1"/>
  <c r="Y4" i="17"/>
  <c r="Q4" i="17" s="1"/>
  <c r="W4" i="17"/>
  <c r="W17" i="17"/>
  <c r="Y17" i="17"/>
  <c r="W16" i="17"/>
  <c r="Y16" i="17"/>
  <c r="W28" i="17"/>
  <c r="Y28" i="17"/>
  <c r="Y14" i="17"/>
  <c r="Q14" i="17" s="1"/>
  <c r="W14" i="17"/>
  <c r="Y30" i="17"/>
  <c r="Q30" i="17" s="1"/>
  <c r="W30" i="17"/>
  <c r="Y27" i="17"/>
  <c r="W27" i="17"/>
  <c r="Y13" i="17"/>
  <c r="Q13" i="17" s="1"/>
  <c r="W13" i="17"/>
  <c r="W5" i="17"/>
  <c r="Y41" i="17"/>
  <c r="Q41" i="17" s="1"/>
  <c r="W41" i="17"/>
  <c r="W12" i="17"/>
  <c r="Y12" i="17"/>
  <c r="W3" i="17"/>
  <c r="Y3" i="17"/>
  <c r="Y29" i="17"/>
  <c r="Q29" i="17" s="1"/>
  <c r="W29" i="17"/>
  <c r="Y40" i="17"/>
  <c r="W40" i="17"/>
  <c r="Y11" i="17"/>
  <c r="Q11" i="17" s="1"/>
  <c r="W11" i="17"/>
  <c r="Y39" i="17"/>
  <c r="Q39" i="17" s="1"/>
  <c r="W39" i="17"/>
  <c r="W25" i="17"/>
  <c r="Y25" i="17"/>
  <c r="Q25" i="17" s="1"/>
  <c r="W19" i="17"/>
  <c r="Y19" i="17"/>
  <c r="Q19" i="17" s="1"/>
  <c r="W33" i="17"/>
  <c r="Y33" i="17"/>
  <c r="Q33" i="17" s="1"/>
  <c r="Y38" i="17"/>
  <c r="W38" i="17"/>
  <c r="Y24" i="17"/>
  <c r="W24" i="17"/>
  <c r="W37" i="17"/>
  <c r="Y23" i="17"/>
  <c r="Q23" i="17" s="1"/>
  <c r="W23" i="17"/>
  <c r="W9" i="17"/>
  <c r="Y9" i="17"/>
  <c r="Q9" i="17" s="1"/>
  <c r="Y36" i="17"/>
  <c r="Q36" i="17" s="1"/>
  <c r="W36" i="17"/>
  <c r="Y22" i="17"/>
  <c r="Q22" i="17" s="1"/>
  <c r="W22" i="17"/>
  <c r="Y8" i="17"/>
  <c r="Q8" i="17" s="1"/>
  <c r="W8" i="17"/>
  <c r="N4" i="17" a="1"/>
  <c r="N4" i="17" s="1"/>
  <c r="R4" i="17" a="1"/>
  <c r="R4" i="17" s="1"/>
  <c r="R3" i="17" a="1"/>
  <c r="R3" i="17" s="1"/>
  <c r="N2" i="17" a="1"/>
  <c r="N2" i="17" s="1"/>
  <c r="N9" i="17" a="1"/>
  <c r="N9" i="17" s="1"/>
  <c r="R9" i="17" a="1"/>
  <c r="R9" i="17" s="1"/>
  <c r="N8" i="17" a="1"/>
  <c r="N8" i="17" s="1"/>
  <c r="R8" i="17" a="1"/>
  <c r="R8" i="17" s="1"/>
  <c r="N7" i="17" a="1"/>
  <c r="N7" i="17" s="1"/>
  <c r="R7" i="17" a="1"/>
  <c r="R7" i="17" s="1"/>
  <c r="N6" i="17" a="1"/>
  <c r="N6" i="17" s="1"/>
  <c r="R6" i="17" a="1"/>
  <c r="R6" i="17" s="1"/>
  <c r="Q38" i="17" l="1"/>
  <c r="Q20" i="17"/>
  <c r="Q12" i="17"/>
  <c r="Q16" i="17"/>
  <c r="Q27" i="17"/>
  <c r="Q3" i="17"/>
  <c r="Q28" i="17"/>
  <c r="Q40" i="17"/>
  <c r="Q24" i="17"/>
  <c r="Q17" i="17"/>
  <c r="Q42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7" saveData="1">
    <dbPr connection="Driver={SQLite3 ODBC Driver};Database=d:\user\edwin\documents\info personal\university\2023 - i\simulación\arena\3. estación de producción\estacion produccion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7" saveData="1">
    <dbPr connection="Driver={SQLite3 ODBC Driver};Database=d:\user\edwin\documents\info personal\university\2023 - i\simulación\arena\3. estación de producción\estacion produccion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7" saveData="1">
    <dbPr connection="Driver={SQLite3 ODBC Driver};Database=d:\user\edwin\documents\info personal\university\2023 - i\simulación\arena\3. estación de producción\estacion produccion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7" saveData="1">
    <dbPr connection="Driver={SQLite3 ODBC Driver};Database=d:\user\edwin\documents\info personal\university\2023 - i\simulación\arena\3. estación de producción\estacion produccion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7" saveData="1">
    <dbPr connection="Driver={SQLite3 ODBC Driver};Database=d:\user\edwin\documents\info personal\university\2023 - i\simulación\arena\3. estación de producción\estacion produccion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7" saveData="1">
    <dbPr connection="Driver={SQLite3 ODBC Driver};Database=d:\user\edwin\documents\info personal\university\2023 - i\simulación\arena\3. estación de producción\estacion produccion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<sst xmlns="http://schemas.openxmlformats.org/spreadsheetml/2006/main" count="988" uniqueCount="185">
  <si>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</si>
  <si>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</si>
  <si>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</si>
  <si>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</si>
  <si>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</si>
  <si>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</si>
  <si>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</si>
  <si>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</si>
  <si>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</si>
  <si>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</si>
  <si>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</si>
  <si>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</si>
  <si>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</si>
  <si>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</si>
  <si>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</si>
  <si>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</si>
  <si>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</si>
  <si>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</si>
  <si>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</si>
  <si>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</si>
  <si>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</si>
  <si>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</si>
  <si>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</si>
  <si>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</si>
  <si>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</si>
  <si>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</si>
  <si>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</si>
  <si>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</si>
  <si>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</si>
  <si>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</si>
  <si>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</si>
  <si>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</si>
  <si>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</si>
  <si>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</si>
  <si>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</si>
  <si>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</si>
  <si>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</si>
  <si>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</si>
  <si>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</si>
  <si>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</si>
  <si>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</si>
  <si>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</si>
  <si>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</si>
  <si>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</si>
  <si>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</si>
  <si>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</si>
  <si>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</si>
  <si>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</si>
  <si>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</si>
  <si>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</si>
  <si>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</si>
  <si>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</si>
  <si>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</si>
  <si>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</si>
  <si>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</si>
  <si>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</si>
  <si>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</si>
  <si>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</si>
  <si>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</si>
  <si>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</si>
  <si>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</si>
  <si>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</si>
  <si>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</si>
  <si>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</si>
  <si>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</si>
  <si>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</si>
  <si>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</si>
  <si>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Unnamed Project</t>
  </si>
  <si>
    <t>D:\User\Edwin\Documents\Info Personal\University\2023 - I\Simulación\Arena\3. Estación de Producción\Estacion Produccion.p</t>
  </si>
  <si>
    <t>2023-05-03 20:49:47</t>
  </si>
  <si>
    <t>Flow Time</t>
  </si>
  <si>
    <t>Interval</t>
  </si>
  <si>
    <t>User Specified</t>
  </si>
  <si>
    <t>Jobs</t>
  </si>
  <si>
    <t>NVA Cost</t>
  </si>
  <si>
    <t>Entity</t>
  </si>
  <si>
    <t>NVA Time</t>
  </si>
  <si>
    <t>Other Cost</t>
  </si>
  <si>
    <t>Other Time</t>
  </si>
  <si>
    <t>Total Cost</t>
  </si>
  <si>
    <t>Total Time</t>
  </si>
  <si>
    <t>Transfer Cost</t>
  </si>
  <si>
    <t>Transfer Time</t>
  </si>
  <si>
    <t>VA Cost</t>
  </si>
  <si>
    <t>VA Time</t>
  </si>
  <si>
    <t>Wait Cost</t>
  </si>
  <si>
    <t>Wait Time</t>
  </si>
  <si>
    <t>Llegada</t>
  </si>
  <si>
    <t>Total Cost Per Entity</t>
  </si>
  <si>
    <t>Process</t>
  </si>
  <si>
    <t>Total Time Per Entity</t>
  </si>
  <si>
    <t>VA Cost Per Entity</t>
  </si>
  <si>
    <t>VA Time Per Entity</t>
  </si>
  <si>
    <t>Wait Cost Per Entity</t>
  </si>
  <si>
    <t>Wait Time Per Entity</t>
  </si>
  <si>
    <t>Llegada.Queue</t>
  </si>
  <si>
    <t>Waiting Cost</t>
  </si>
  <si>
    <t>Queue</t>
  </si>
  <si>
    <t>Waiting Time</t>
  </si>
  <si>
    <t>LleganA</t>
  </si>
  <si>
    <t>Expression</t>
  </si>
  <si>
    <t>LleganB</t>
  </si>
  <si>
    <t>LlenadoPro</t>
  </si>
  <si>
    <t>LlenadoPro.Queue</t>
  </si>
  <si>
    <t>TapadoPro</t>
  </si>
  <si>
    <t>TapadoPro.Queue</t>
  </si>
  <si>
    <t>Total in</t>
  </si>
  <si>
    <t>Totales</t>
  </si>
  <si>
    <t>WIP</t>
  </si>
  <si>
    <t>Number Waiting</t>
  </si>
  <si>
    <t>Llegar</t>
  </si>
  <si>
    <t>Instantaneous Utilization</t>
  </si>
  <si>
    <t>Resource</t>
  </si>
  <si>
    <t>Number Busy</t>
  </si>
  <si>
    <t>Number Scheduled</t>
  </si>
  <si>
    <t>Llenar</t>
  </si>
  <si>
    <t>Tapar</t>
  </si>
  <si>
    <t>All Entities.NVACost</t>
  </si>
  <si>
    <t>System</t>
  </si>
  <si>
    <t>All Entities.OtherCost</t>
  </si>
  <si>
    <t>All Entities.TotalCost</t>
  </si>
  <si>
    <t>All Entities.TranCost</t>
  </si>
  <si>
    <t>Tran Cost</t>
  </si>
  <si>
    <t>All Entities.VACost</t>
  </si>
  <si>
    <t>All Entities.WaitCost</t>
  </si>
  <si>
    <t>All Resources.BusyCost</t>
  </si>
  <si>
    <t>Busy Cost</t>
  </si>
  <si>
    <t>All Resources.IdleCost</t>
  </si>
  <si>
    <t>Idle Cost</t>
  </si>
  <si>
    <t>All Resources.TotalCost</t>
  </si>
  <si>
    <t>All Resources.UsageCost</t>
  </si>
  <si>
    <t>Usage Cost</t>
  </si>
  <si>
    <t>Jobs.NumberIn</t>
  </si>
  <si>
    <t>Number In</t>
  </si>
  <si>
    <t>Jobs.NumberOut</t>
  </si>
  <si>
    <t>Number Out</t>
  </si>
  <si>
    <t>Llegada Accum VA Cost</t>
  </si>
  <si>
    <t>Accum VA Cost</t>
  </si>
  <si>
    <t>Llegada Accum VA Time</t>
  </si>
  <si>
    <t>Accum VA Time</t>
  </si>
  <si>
    <t>Llegada Accum Wait Cost</t>
  </si>
  <si>
    <t>Accum Wait Cost</t>
  </si>
  <si>
    <t>Llegada Accum Wait Time</t>
  </si>
  <si>
    <t>Accum Wait Time</t>
  </si>
  <si>
    <t>Llegada Number In</t>
  </si>
  <si>
    <t>Llegada Number Out</t>
  </si>
  <si>
    <t>Llegada Total Accum Cost</t>
  </si>
  <si>
    <t>Total Accum Cost</t>
  </si>
  <si>
    <t>Llegada Total Accum Time</t>
  </si>
  <si>
    <t>Total Accum Time</t>
  </si>
  <si>
    <t>Llegar.BusyCost</t>
  </si>
  <si>
    <t>Llegar.IdleCost</t>
  </si>
  <si>
    <t>Llegar.NumberSeized</t>
  </si>
  <si>
    <t>Total Number Seized</t>
  </si>
  <si>
    <t>Llegar.ScheduledUtilization</t>
  </si>
  <si>
    <t>Scheduled Utilization</t>
  </si>
  <si>
    <t>Llegar.UsageCost</t>
  </si>
  <si>
    <t>LlenadoPro Accum VA Cost</t>
  </si>
  <si>
    <t>LlenadoPro Accum VA Time</t>
  </si>
  <si>
    <t>LlenadoPro Accum Wait Cost</t>
  </si>
  <si>
    <t>LlenadoPro Accum Wait Time</t>
  </si>
  <si>
    <t>LlenadoPro Number In</t>
  </si>
  <si>
    <t>LlenadoPro Number Out</t>
  </si>
  <si>
    <t>LlenadoPro Total Accum Cost</t>
  </si>
  <si>
    <t>LlenadoPro Total Accum Time</t>
  </si>
  <si>
    <t>Llenar.BusyCost</t>
  </si>
  <si>
    <t>Llenar.IdleCost</t>
  </si>
  <si>
    <t>Llenar.NumberSeized</t>
  </si>
  <si>
    <t>Llenar.ScheduledUtilization</t>
  </si>
  <si>
    <t>Llenar.UsageCost</t>
  </si>
  <si>
    <t>System.NumberOut</t>
  </si>
  <si>
    <t>System.TotalCost</t>
  </si>
  <si>
    <t>TapadoPro Accum VA Cost</t>
  </si>
  <si>
    <t>TapadoPro Accum VA Time</t>
  </si>
  <si>
    <t>TapadoPro Accum Wait Cost</t>
  </si>
  <si>
    <t>TapadoPro Accum Wait Time</t>
  </si>
  <si>
    <t>TapadoPro Number In</t>
  </si>
  <si>
    <t>TapadoPro Number Out</t>
  </si>
  <si>
    <t>TapadoPro Total Accum Cost</t>
  </si>
  <si>
    <t>TapadoPro Total Accum Time</t>
  </si>
  <si>
    <t>Tapar.BusyCost</t>
  </si>
  <si>
    <t>Tapar.IdleCost</t>
  </si>
  <si>
    <t>Tapar.NumberSeized</t>
  </si>
  <si>
    <t>Tapar.ScheduledUtilization</t>
  </si>
  <si>
    <t>Tapar.UsageCost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</si>
</sst>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0" borderId="0" xfId="0" applyFont="1" applyFill="1"/>
    <xf numFmtId="0" fontId="0" fillId="0" borderId="0" xfId="0" applyNumberFormat="1"/>
    <xf numFmtId="0" fontId="0" fillId="0" borderId="0" xfId="0" pivotButton="1"/>
    <xf numFmtId="20" fontId="0" fillId="0" borderId="0" xfId="0" applyNumberFormat="1"/>
    <xf numFmtId="10" fontId="0" fillId="0" borderId="0" xfId="0" applyNumberFormat="1"/>
  </cellXfs>
  <cellStyles count="1">
    <cellStyle name="Normal" xfId="0" builtinId="0"/>
  </cellStyles>
  <dxfs count="7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numFmt numFmtId="166" formatCode="[=300000000000000000000]&quot;Correlated&quot;;;"/>
    </dxf>
    <dxf>
      <numFmt numFmtId="165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5" formatCode="[=200000000000000000000]&quot;Insufficient&quot;;;"/>
    </dxf>
    <dxf>
      <numFmt numFmtId="166" formatCode="[=300000000000000000000]&quot;Correlated&quot;;;"/>
    </dxf>
    <dxf>
      <numFmt numFmtId="167" formatCode="[=1]&quot;Yes&quot;;;"/>
    </dxf>
    <dxf>
      <numFmt numFmtId="167" formatCode="[=1]&quot;Yes&quot;;;"/>
    </dxf>
    <dxf>
      <numFmt numFmtId="168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7" formatCode="[=1]&quot;Yes&quot;;;"/>
      <border>
        <left/>
        <right/>
        <top/>
        <bottom/>
      </border>
    </dxf>
    <dxf>
      <numFmt numFmtId="168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5" formatCode="[=200000000000000000000]&quot;Insufficient&quot;;;"/>
    </dxf>
    <dxf>
      <numFmt numFmtId="165" formatCode="[=200000000000000000000]&quot;Insufficient&quot;;;"/>
    </dxf>
    <dxf>
      <numFmt numFmtId="169" formatCode="[=0]&quot;Days&quot;;;"/>
    </dxf>
    <dxf>
      <numFmt numFmtId="170" formatCode="[=1]&quot;Hours&quot;;;"/>
    </dxf>
    <dxf>
      <numFmt numFmtId="171" formatCode="[=2]&quot;Minutes&quot;;;"/>
    </dxf>
    <dxf>
      <numFmt numFmtId="172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win Alejandro Forero Gómez" refreshedDate="45049.86797777778" createdVersion="7" refreshedVersion="7" minRefreshableVersion="3" recordCount="41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11">
        <s v="Flow Time"/>
        <s v="Jobs"/>
        <s v="Llegada"/>
        <s v="Llegada.Queue"/>
        <s v="LleganA"/>
        <s v="LleganB"/>
        <s v="LlenadoPro"/>
        <s v="LlenadoPro.Queue"/>
        <s v="TapadoPro"/>
        <s v="TapadoPro.Queue"/>
        <s v="Total in"/>
        <s v="Totales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23">
        <s v="Interval"/>
        <s v="NVA Cost"/>
        <s v="NVA Time"/>
        <s v="Other Cost"/>
        <s v="Other Time"/>
        <s v="Total Cost"/>
        <s v="Total Time"/>
        <s v="Transfer Cost"/>
        <s v="Transfer Time"/>
        <s v="VA Cost"/>
        <s v="VA Time"/>
        <s v="Wait Cost"/>
        <s v="Wait Time"/>
        <s v="Total Cost Per Entity"/>
        <s v="Total Time Per Entity"/>
        <s v="VA Cost Per Entity"/>
        <s v="VA Time Per Entity"/>
        <s v="Wait Cost Per Entity"/>
        <s v="Wait Time Per Entity"/>
        <s v="Waiting Cost"/>
        <s v="Waiting Time"/>
        <s v="Expression"/>
        <m u="1"/>
      </sharedItems>
    </cacheField>
    <cacheField name="Source" numFmtId="0">
      <sharedItems containsBlank="1" count="5">
        <s v="User Specified"/>
        <s v="Entity"/>
        <s v="Process"/>
        <s v="Queue"/>
        <m u="1"/>
      </sharedItems>
    </cacheField>
    <cacheField name="Average" numFmtId="0">
      <sharedItems containsSemiMixedTypes="0" containsString="0" containsNumber="1" minValue="0" maxValue="4.1783651013620604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1"/>
    </cacheField>
    <cacheField name="Maximum" numFmtId="0">
      <sharedItems containsSemiMixedTypes="0" containsString="0" containsNumber="1" minValue="0" maxValue="8.1342765533160808"/>
    </cacheField>
    <cacheField name="NumberObservations" numFmtId="0">
      <sharedItems containsSemiMixedTypes="0" containsString="0" containsNumber="1" containsInteger="1" minValue="174" maxValue="174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4.1783651013620604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4.1783651013620604"/>
    </cacheField>
    <cacheField name="MaximumAverage" numFmtId="0">
      <sharedItems containsSemiMixedTypes="0" containsString="0" containsNumber="1" minValue="0" maxValue="4.1783651013620604"/>
    </cacheField>
    <cacheField name="OverallMinimum" numFmtId="0">
      <sharedItems containsSemiMixedTypes="0" containsString="0" containsNumber="1" minValue="0" maxValue="1"/>
    </cacheField>
    <cacheField name="OverallMaximum" numFmtId="0">
      <sharedItems containsSemiMixedTypes="0" containsString="0" containsNumber="1" minValue="0" maxValue="8.1342765533160808"/>
    </cacheField>
    <cacheField name="AverageNumberObservations" numFmtId="0">
      <sharedItems containsSemiMixedTypes="0" containsString="0" containsNumber="1" containsInteger="1" minValue="174" maxValue="174"/>
    </cacheField>
    <cacheField name="SummaryHalfWidth" numFmtId="0">
      <sharedItems containsSemiMixedTypes="0" containsString="0" containsNumber="1" containsInteger="1" minValue="2E+20" maxValue="2E+20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win Alejandro Forero Gómez" refreshedDate="45049.867978240742" createdVersion="7" refreshedVersion="7" minRefreshableVersion="3" recordCount="53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31">
        <s v="All Entities.NVACost"/>
        <s v="All Entities.OtherCost"/>
        <s v="All Entities.TotalCost"/>
        <s v="All Entities.TranCost"/>
        <s v="All Entities.VACost"/>
        <s v="All Entities.WaitCost"/>
        <s v="All Resources.BusyCost"/>
        <s v="All Resources.IdleCost"/>
        <s v="All Resources.TotalCost"/>
        <s v="All Resources.UsageCost"/>
        <s v="Jobs.NumberIn"/>
        <s v="Jobs.NumberOut"/>
        <s v="Llegada Accum VA Cost"/>
        <s v="Llegada Accum VA Time"/>
        <s v="Llegada Accum Wait Cost"/>
        <s v="Llegada Accum Wait Time"/>
        <s v="Llegada Number In"/>
        <s v="Llegada Number Out"/>
        <s v="Llegada Total Accum Cost"/>
        <s v="Llegada Total Accum Time"/>
        <s v="Llegar.BusyCost"/>
        <s v="Llegar.IdleCost"/>
        <s v="Llegar.NumberSeized"/>
        <s v="Llegar.ScheduledUtilization"/>
        <s v="Llegar.UsageCost"/>
        <s v="LlenadoPro Accum VA Cost"/>
        <s v="LlenadoPro Accum VA Time"/>
        <s v="LlenadoPro Accum Wait Cost"/>
        <s v="LlenadoPro Accum Wait Time"/>
        <s v="LlenadoPro Number In"/>
        <s v="LlenadoPro Number Out"/>
        <s v="LlenadoPro Total Accum Cost"/>
        <s v="LlenadoPro Total Accum Time"/>
        <s v="Llenar.BusyCost"/>
        <s v="Llenar.IdleCost"/>
        <s v="Llenar.NumberSeized"/>
        <s v="Llenar.ScheduledUtilization"/>
        <s v="Llenar.UsageCost"/>
        <s v="System.NumberOut"/>
        <s v="System.TotalCost"/>
        <s v="TapadoPro Accum VA Cost"/>
        <s v="TapadoPro Accum VA Time"/>
        <s v="TapadoPro Accum Wait Cost"/>
        <s v="TapadoPro Accum Wait Time"/>
        <s v="TapadoPro Number In"/>
        <s v="TapadoPro Number Out"/>
        <s v="TapadoPro Total Accum Cost"/>
        <s v="TapadoPro Total Accum Time"/>
        <s v="Tapar.BusyCost"/>
        <s v="Tapar.IdleCost"/>
        <s v="Tapar.NumberSeized"/>
        <s v="Tapar.ScheduledUtilization"/>
        <s v="Tapar.UsageCos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20">
        <s v="NVA Cost"/>
        <s v="Other Cost"/>
        <s v="Total Cost"/>
        <s v="Tran Cost"/>
        <s v="VA Cost"/>
        <s v="Wait Cost"/>
        <s v="Busy Cost"/>
        <s v="Idle Cost"/>
        <s v="Usage Cost"/>
        <s v="Number In"/>
        <s v="Number Out"/>
        <s v="Accum VA Cost"/>
        <s v="Accum VA Time"/>
        <s v="Accum Wait Cost"/>
        <s v="Accum Wait Time"/>
        <s v="Total Accum Cost"/>
        <s v="Total Accum Time"/>
        <s v="Total Number Seized"/>
        <s v="Scheduled Utilization"/>
        <m u="1"/>
      </sharedItems>
    </cacheField>
    <cacheField name="Source" numFmtId="0">
      <sharedItems containsBlank="1" count="5">
        <s v="System"/>
        <s v="Entity"/>
        <s v="Process"/>
        <s v="Resource"/>
        <m u="1"/>
      </sharedItems>
    </cacheField>
    <cacheField name="RecordedValue" numFmtId="0">
      <sharedItems containsSemiMixedTypes="0" containsString="0" containsNumber="1" minValue="0" maxValue="703.05898908337099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minValue="0" maxValue="703.05898908337099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minValue="0" maxValue="703.05898908337099"/>
    </cacheField>
    <cacheField name="Maximum" numFmtId="0">
      <sharedItems containsSemiMixedTypes="0" containsString="0" containsNumber="1" minValue="0" maxValue="703.058989083370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win Alejandro Forero Gómez" refreshedDate="45049.867978819442" createdVersion="7" refreshedVersion="7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win Alejandro Forero Gómez" refreshedDate="45049.867979282404" createdVersion="7" refreshedVersion="7" minRefreshableVersion="3" recordCount="13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31">
        <s v="Jobs"/>
        <s v="Llegada.Queue"/>
        <s v="Llegar"/>
        <s v="LlenadoPro.Queue"/>
        <s v="Llenar"/>
        <s v="TapadoPro.Queue"/>
        <s v="Tapar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WIP"/>
        <s v="Number Waiting"/>
        <s v="Instantaneous Utilization"/>
        <s v="Number Busy"/>
        <s v="Number Scheduled"/>
        <m u="1"/>
        <s v="Levels" u="1"/>
      </sharedItems>
    </cacheField>
    <cacheField name="Source" numFmtId="0">
      <sharedItems containsBlank="1" count="5">
        <s v="Entity"/>
        <s v="Queue"/>
        <s v="Resource"/>
        <m u="1"/>
        <s v="User Specified" u="1"/>
      </sharedItems>
    </cacheField>
    <cacheField name="Average" numFmtId="0">
      <sharedItems containsSemiMixedTypes="0" containsString="0" containsNumber="1" minValue="0.303353366763984" maxValue="75.034428254618106"/>
    </cacheField>
    <cacheField name="BatchMeansHalfWidth" numFmtId="0">
      <sharedItems containsSemiMixedTypes="0" containsString="0" containsNumber="1" containsInteger="1" minValue="2E+20" maxValue="3E+20"/>
    </cacheField>
    <cacheField name="Minimum" numFmtId="0">
      <sharedItems containsSemiMixedTypes="0" containsString="0" containsNumber="1" containsInteger="1" minValue="0" maxValue="1"/>
    </cacheField>
    <cacheField name="Maximum" numFmtId="0">
      <sharedItems containsSemiMixedTypes="0" containsString="0" containsNumber="1" containsInteger="1" minValue="1" maxValue="148"/>
    </cacheField>
    <cacheField name="LastRecordedValue" numFmtId="0">
      <sharedItems containsSemiMixedTypes="0" containsString="0" containsNumber="1" containsInteger="1" minValue="0" maxValue="1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.303353366763984" maxValue="75.034428254618106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.303353366763984" maxValue="75.034428254618106"/>
    </cacheField>
    <cacheField name="MaximumAverage" numFmtId="0">
      <sharedItems containsSemiMixedTypes="0" containsString="0" containsNumber="1" minValue="0.303353366763984" maxValue="75.034428254618106"/>
    </cacheField>
    <cacheField name="SummaryHalfWidth" numFmtId="0">
      <sharedItems containsSemiMixedTypes="0" containsString="0" containsNumber="1" containsInteger="1" minValue="2E+20" maxValue="3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win Alejandro Forero Gómez" refreshedDate="45049.867979861112" createdVersion="7" refreshedVersion="7" minRefreshableVersion="3" recordCount="1" xr:uid="{9A30BE60-1A18-409A-BDB2-1FBA5F928A4C}">
  <cacheSource type="worksheet">
    <worksheetSource name="FrequencyTable"/>
  </cacheSource>
  <cacheFields count="16">
    <cacheField name="ProjectName" numFmtId="0">
      <sharedItems containsNonDate="0" containsBlank="1" count="2">
        <m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6">
        <m/>
        <s v="Prep 1 Freq s3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4">
        <m/>
        <s v="waiting" u="1"/>
        <s v="idle" u="1"/>
        <s v="busy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">
  <r>
    <x v="0"/>
    <s v="2023-05-03 20:49:47"/>
    <n v="1"/>
    <x v="0"/>
    <x v="0"/>
    <x v="0"/>
    <n v="4.1783651013620604"/>
    <n v="2E+20"/>
    <n v="0.16053247526962899"/>
    <n v="8.1342765533160808"/>
    <n v="174"/>
    <s v="Unnamed ProjectFlow TimeIntervalUser Specified"/>
    <n v="1"/>
    <n v="4.1783651013620604"/>
    <n v="0"/>
    <n v="0.95"/>
    <n v="4E+20"/>
    <n v="4.1783651013620604"/>
    <n v="4.1783651013620604"/>
    <n v="0.16053247526962899"/>
    <n v="8.1342765533160808"/>
    <n v="174"/>
    <n v="2E+20"/>
    <n v="1"/>
    <n v="1"/>
  </r>
  <r>
    <x v="0"/>
    <s v="2023-05-03 20:49:47"/>
    <n v="1"/>
    <x v="1"/>
    <x v="1"/>
    <x v="1"/>
    <n v="0"/>
    <n v="2E+20"/>
    <n v="0"/>
    <n v="0"/>
    <n v="174"/>
    <s v="Unnamed ProjectJobsNVA CostEntity"/>
    <n v="1"/>
    <n v="0"/>
    <n v="0"/>
    <n v="0.95"/>
    <n v="4E+20"/>
    <n v="0"/>
    <n v="0"/>
    <n v="0"/>
    <n v="0"/>
    <n v="174"/>
    <n v="2E+20"/>
    <n v="1"/>
    <n v="1"/>
  </r>
  <r>
    <x v="0"/>
    <s v="2023-05-03 20:49:47"/>
    <n v="1"/>
    <x v="1"/>
    <x v="2"/>
    <x v="1"/>
    <n v="0"/>
    <n v="2E+20"/>
    <n v="0"/>
    <n v="0"/>
    <n v="174"/>
    <s v="Unnamed ProjectJobsNVA TimeEntity"/>
    <n v="1"/>
    <n v="0"/>
    <n v="0"/>
    <n v="0.95"/>
    <n v="4E+20"/>
    <n v="0"/>
    <n v="0"/>
    <n v="0"/>
    <n v="0"/>
    <n v="174"/>
    <n v="2E+20"/>
    <n v="1"/>
    <n v="1"/>
  </r>
  <r>
    <x v="0"/>
    <s v="2023-05-03 20:49:47"/>
    <n v="1"/>
    <x v="1"/>
    <x v="3"/>
    <x v="1"/>
    <n v="0"/>
    <n v="2E+20"/>
    <n v="0"/>
    <n v="0"/>
    <n v="174"/>
    <s v="Unnamed ProjectJobsOther CostEntity"/>
    <n v="1"/>
    <n v="0"/>
    <n v="0"/>
    <n v="0.95"/>
    <n v="4E+20"/>
    <n v="0"/>
    <n v="0"/>
    <n v="0"/>
    <n v="0"/>
    <n v="174"/>
    <n v="2E+20"/>
    <n v="1"/>
    <n v="1"/>
  </r>
  <r>
    <x v="0"/>
    <s v="2023-05-03 20:49:47"/>
    <n v="1"/>
    <x v="1"/>
    <x v="4"/>
    <x v="1"/>
    <n v="0"/>
    <n v="2E+20"/>
    <n v="0"/>
    <n v="0"/>
    <n v="174"/>
    <s v="Unnamed ProjectJobsOther TimeEntity"/>
    <n v="1"/>
    <n v="0"/>
    <n v="0"/>
    <n v="0.95"/>
    <n v="4E+20"/>
    <n v="0"/>
    <n v="0"/>
    <n v="0"/>
    <n v="0"/>
    <n v="174"/>
    <n v="2E+20"/>
    <n v="1"/>
    <n v="1"/>
  </r>
  <r>
    <x v="0"/>
    <s v="2023-05-03 20:49:47"/>
    <n v="1"/>
    <x v="1"/>
    <x v="5"/>
    <x v="1"/>
    <n v="0"/>
    <n v="2E+20"/>
    <n v="0"/>
    <n v="0"/>
    <n v="174"/>
    <s v="Unnamed ProjectJobsTotal CostEntity"/>
    <n v="1"/>
    <n v="0"/>
    <n v="0"/>
    <n v="0.95"/>
    <n v="4E+20"/>
    <n v="0"/>
    <n v="0"/>
    <n v="0"/>
    <n v="0"/>
    <n v="174"/>
    <n v="2E+20"/>
    <n v="1"/>
    <n v="1"/>
  </r>
  <r>
    <x v="0"/>
    <s v="2023-05-03 20:49:47"/>
    <n v="1"/>
    <x v="1"/>
    <x v="6"/>
    <x v="1"/>
    <n v="4.1783651013620604"/>
    <n v="2E+20"/>
    <n v="0.16053247526962899"/>
    <n v="8.1342765533160808"/>
    <n v="174"/>
    <s v="Unnamed ProjectJobsTotal TimeEntity"/>
    <n v="1"/>
    <n v="4.1783651013620604"/>
    <n v="0"/>
    <n v="0.95"/>
    <n v="4E+20"/>
    <n v="4.1783651013620604"/>
    <n v="4.1783651013620604"/>
    <n v="0.16053247526962899"/>
    <n v="8.1342765533160808"/>
    <n v="174"/>
    <n v="2E+20"/>
    <n v="1"/>
    <n v="1"/>
  </r>
  <r>
    <x v="0"/>
    <s v="2023-05-03 20:49:47"/>
    <n v="1"/>
    <x v="1"/>
    <x v="7"/>
    <x v="1"/>
    <n v="0"/>
    <n v="2E+20"/>
    <n v="0"/>
    <n v="0"/>
    <n v="174"/>
    <s v="Unnamed ProjectJobsTransfer CostEntity"/>
    <n v="1"/>
    <n v="0"/>
    <n v="0"/>
    <n v="0.95"/>
    <n v="4E+20"/>
    <n v="0"/>
    <n v="0"/>
    <n v="0"/>
    <n v="0"/>
    <n v="174"/>
    <n v="2E+20"/>
    <n v="1"/>
    <n v="1"/>
  </r>
  <r>
    <x v="0"/>
    <s v="2023-05-03 20:49:47"/>
    <n v="1"/>
    <x v="1"/>
    <x v="8"/>
    <x v="1"/>
    <n v="0"/>
    <n v="2E+20"/>
    <n v="0"/>
    <n v="0"/>
    <n v="174"/>
    <s v="Unnamed ProjectJobsTransfer TimeEntity"/>
    <n v="1"/>
    <n v="0"/>
    <n v="0"/>
    <n v="0.95"/>
    <n v="4E+20"/>
    <n v="0"/>
    <n v="0"/>
    <n v="0"/>
    <n v="0"/>
    <n v="174"/>
    <n v="2E+20"/>
    <n v="1"/>
    <n v="1"/>
  </r>
  <r>
    <x v="0"/>
    <s v="2023-05-03 20:49:47"/>
    <n v="1"/>
    <x v="1"/>
    <x v="9"/>
    <x v="1"/>
    <n v="0"/>
    <n v="2E+20"/>
    <n v="0"/>
    <n v="0"/>
    <n v="174"/>
    <s v="Unnamed ProjectJobsVA CostEntity"/>
    <n v="1"/>
    <n v="0"/>
    <n v="0"/>
    <n v="0.95"/>
    <n v="4E+20"/>
    <n v="0"/>
    <n v="0"/>
    <n v="0"/>
    <n v="0"/>
    <n v="174"/>
    <n v="2E+20"/>
    <n v="1"/>
    <n v="1"/>
  </r>
  <r>
    <x v="0"/>
    <s v="2023-05-03 20:49:47"/>
    <n v="1"/>
    <x v="1"/>
    <x v="10"/>
    <x v="1"/>
    <n v="0.153330622201063"/>
    <n v="2E+20"/>
    <n v="9.7454943679666797E-2"/>
    <n v="0.20887623858259199"/>
    <n v="174"/>
    <s v="Unnamed ProjectJobsVA TimeEntity"/>
    <n v="1"/>
    <n v="0.153330622201063"/>
    <n v="0"/>
    <n v="0.95"/>
    <n v="4E+20"/>
    <n v="0.153330622201063"/>
    <n v="0.153330622201063"/>
    <n v="9.7454943679666797E-2"/>
    <n v="0.20887623858259199"/>
    <n v="174"/>
    <n v="2E+20"/>
    <n v="1"/>
    <n v="1"/>
  </r>
  <r>
    <x v="0"/>
    <s v="2023-05-03 20:49:47"/>
    <n v="1"/>
    <x v="1"/>
    <x v="11"/>
    <x v="1"/>
    <n v="0"/>
    <n v="2E+20"/>
    <n v="0"/>
    <n v="0"/>
    <n v="174"/>
    <s v="Unnamed ProjectJobsWait CostEntity"/>
    <n v="1"/>
    <n v="0"/>
    <n v="0"/>
    <n v="0.95"/>
    <n v="4E+20"/>
    <n v="0"/>
    <n v="0"/>
    <n v="0"/>
    <n v="0"/>
    <n v="174"/>
    <n v="2E+20"/>
    <n v="1"/>
    <n v="1"/>
  </r>
  <r>
    <x v="0"/>
    <s v="2023-05-03 20:49:47"/>
    <n v="1"/>
    <x v="1"/>
    <x v="12"/>
    <x v="1"/>
    <n v="4.0250344791610004"/>
    <n v="2E+20"/>
    <n v="0"/>
    <n v="8.0026910951656092"/>
    <n v="174"/>
    <s v="Unnamed ProjectJobsWait TimeEntity"/>
    <n v="1"/>
    <n v="4.0250344791610004"/>
    <n v="0"/>
    <n v="0.95"/>
    <n v="4E+20"/>
    <n v="4.0250344791610004"/>
    <n v="4.0250344791610004"/>
    <n v="0"/>
    <n v="8.0026910951656092"/>
    <n v="174"/>
    <n v="2E+20"/>
    <n v="1"/>
    <n v="1"/>
  </r>
  <r>
    <x v="0"/>
    <s v="2023-05-03 20:49:47"/>
    <n v="1"/>
    <x v="2"/>
    <x v="13"/>
    <x v="2"/>
    <n v="0"/>
    <n v="2E+20"/>
    <n v="0"/>
    <n v="0"/>
    <n v="174"/>
    <s v="Unnamed ProjectLlegadaTotal Cost Per EntityProcess"/>
    <n v="1"/>
    <n v="0"/>
    <n v="0"/>
    <n v="0.95"/>
    <n v="4E+20"/>
    <n v="0"/>
    <n v="0"/>
    <n v="0"/>
    <n v="0"/>
    <n v="174"/>
    <n v="2E+20"/>
    <n v="1"/>
    <n v="1"/>
  </r>
  <r>
    <x v="0"/>
    <s v="2023-05-03 20:49:47"/>
    <n v="1"/>
    <x v="2"/>
    <x v="14"/>
    <x v="2"/>
    <n v="4.0405689027779896"/>
    <n v="2E+20"/>
    <n v="4.5960180338552301E-2"/>
    <n v="8.0082337186974097"/>
    <n v="174"/>
    <s v="Unnamed ProjectLlegadaTotal Time Per EntityProcess"/>
    <n v="1"/>
    <n v="4.0405689027779896"/>
    <n v="0"/>
    <n v="0.95"/>
    <n v="4E+20"/>
    <n v="4.0405689027779896"/>
    <n v="4.0405689027779896"/>
    <n v="4.5960180338552301E-2"/>
    <n v="8.0082337186974097"/>
    <n v="174"/>
    <n v="2E+20"/>
    <n v="1"/>
    <n v="1"/>
  </r>
  <r>
    <x v="0"/>
    <s v="2023-05-03 20:49:47"/>
    <n v="1"/>
    <x v="2"/>
    <x v="15"/>
    <x v="2"/>
    <n v="0"/>
    <n v="2E+20"/>
    <n v="0"/>
    <n v="0"/>
    <n v="174"/>
    <s v="Unnamed ProjectLlegadaVA Cost Per EntityProcess"/>
    <n v="1"/>
    <n v="0"/>
    <n v="0"/>
    <n v="0.95"/>
    <n v="4E+20"/>
    <n v="0"/>
    <n v="0"/>
    <n v="0"/>
    <n v="0"/>
    <n v="174"/>
    <n v="2E+20"/>
    <n v="1"/>
    <n v="1"/>
  </r>
  <r>
    <x v="0"/>
    <s v="2023-05-03 20:49:47"/>
    <n v="1"/>
    <x v="2"/>
    <x v="16"/>
    <x v="2"/>
    <n v="5.4961588300001099E-2"/>
    <n v="2E+20"/>
    <n v="2.5180612208651101E-2"/>
    <n v="8.3179379200521805E-2"/>
    <n v="174"/>
    <s v="Unnamed ProjectLlegadaVA Time Per EntityProcess"/>
    <n v="1"/>
    <n v="5.4961588300001099E-2"/>
    <n v="0"/>
    <n v="0.95"/>
    <n v="4E+20"/>
    <n v="5.4961588300001099E-2"/>
    <n v="5.4961588300001099E-2"/>
    <n v="2.5180612208651101E-2"/>
    <n v="8.3179379200521805E-2"/>
    <n v="174"/>
    <n v="2E+20"/>
    <n v="1"/>
    <n v="1"/>
  </r>
  <r>
    <x v="0"/>
    <s v="2023-05-03 20:49:47"/>
    <n v="1"/>
    <x v="2"/>
    <x v="17"/>
    <x v="2"/>
    <n v="0"/>
    <n v="2E+20"/>
    <n v="0"/>
    <n v="0"/>
    <n v="174"/>
    <s v="Unnamed ProjectLlegadaWait Cost Per EntityProcess"/>
    <n v="1"/>
    <n v="0"/>
    <n v="0"/>
    <n v="0.95"/>
    <n v="4E+20"/>
    <n v="0"/>
    <n v="0"/>
    <n v="0"/>
    <n v="0"/>
    <n v="174"/>
    <n v="2E+20"/>
    <n v="1"/>
    <n v="1"/>
  </r>
  <r>
    <x v="0"/>
    <s v="2023-05-03 20:49:47"/>
    <n v="1"/>
    <x v="2"/>
    <x v="18"/>
    <x v="2"/>
    <n v="3.9856073144779902"/>
    <n v="2E+20"/>
    <n v="0"/>
    <n v="7.9513431978737303"/>
    <n v="174"/>
    <s v="Unnamed ProjectLlegadaWait Time Per EntityProcess"/>
    <n v="1"/>
    <n v="3.9856073144779902"/>
    <n v="0"/>
    <n v="0.95"/>
    <n v="4E+20"/>
    <n v="3.9856073144779902"/>
    <n v="3.9856073144779902"/>
    <n v="0"/>
    <n v="7.9513431978737303"/>
    <n v="174"/>
    <n v="2E+20"/>
    <n v="1"/>
    <n v="1"/>
  </r>
  <r>
    <x v="0"/>
    <s v="2023-05-03 20:49:47"/>
    <n v="1"/>
    <x v="3"/>
    <x v="19"/>
    <x v="3"/>
    <n v="0"/>
    <n v="2E+20"/>
    <n v="0"/>
    <n v="0"/>
    <n v="174"/>
    <s v="Unnamed ProjectLlegada.QueueWaiting CostQueue"/>
    <n v="1"/>
    <n v="0"/>
    <n v="0"/>
    <n v="0.95"/>
    <n v="4E+20"/>
    <n v="0"/>
    <n v="0"/>
    <n v="0"/>
    <n v="0"/>
    <n v="174"/>
    <n v="2E+20"/>
    <n v="1"/>
    <n v="1"/>
  </r>
  <r>
    <x v="0"/>
    <s v="2023-05-03 20:49:47"/>
    <n v="1"/>
    <x v="3"/>
    <x v="20"/>
    <x v="3"/>
    <n v="3.9856073144779902"/>
    <n v="2E+20"/>
    <n v="0"/>
    <n v="7.9513431978737303"/>
    <n v="174"/>
    <s v="Unnamed ProjectLlegada.QueueWaiting TimeQueue"/>
    <n v="1"/>
    <n v="3.9856073144779902"/>
    <n v="0"/>
    <n v="0.95"/>
    <n v="4E+20"/>
    <n v="3.9856073144779902"/>
    <n v="3.9856073144779902"/>
    <n v="0"/>
    <n v="7.9513431978737303"/>
    <n v="174"/>
    <n v="2E+20"/>
    <n v="1"/>
    <n v="1"/>
  </r>
  <r>
    <x v="0"/>
    <s v="2023-05-03 20:49:47"/>
    <n v="1"/>
    <x v="4"/>
    <x v="21"/>
    <x v="0"/>
    <n v="1"/>
    <n v="2E+20"/>
    <n v="1"/>
    <n v="1"/>
    <n v="174"/>
    <s v="Unnamed ProjectLleganAExpressionUser Specified"/>
    <n v="1"/>
    <n v="1"/>
    <n v="0"/>
    <n v="0.95"/>
    <n v="4E+20"/>
    <n v="1"/>
    <n v="1"/>
    <n v="1"/>
    <n v="1"/>
    <n v="174"/>
    <n v="2E+20"/>
    <n v="1"/>
    <n v="1"/>
  </r>
  <r>
    <x v="0"/>
    <s v="2023-05-03 20:49:47"/>
    <n v="1"/>
    <x v="5"/>
    <x v="21"/>
    <x v="0"/>
    <n v="1"/>
    <n v="2E+20"/>
    <n v="1"/>
    <n v="1"/>
    <n v="174"/>
    <s v="Unnamed ProjectLleganBExpressionUser Specified"/>
    <n v="1"/>
    <n v="1"/>
    <n v="0"/>
    <n v="0.95"/>
    <n v="4E+20"/>
    <n v="1"/>
    <n v="1"/>
    <n v="1"/>
    <n v="1"/>
    <n v="174"/>
    <n v="2E+20"/>
    <n v="1"/>
    <n v="1"/>
  </r>
  <r>
    <x v="0"/>
    <s v="2023-05-03 20:49:47"/>
    <n v="1"/>
    <x v="6"/>
    <x v="13"/>
    <x v="2"/>
    <n v="0"/>
    <n v="2E+20"/>
    <n v="0"/>
    <n v="0"/>
    <n v="174"/>
    <s v="Unnamed ProjectLlenadoProTotal Cost Per EntityProcess"/>
    <n v="1"/>
    <n v="0"/>
    <n v="0"/>
    <n v="0.95"/>
    <n v="4E+20"/>
    <n v="0"/>
    <n v="0"/>
    <n v="0"/>
    <n v="0"/>
    <n v="174"/>
    <n v="2E+20"/>
    <n v="1"/>
    <n v="1"/>
  </r>
  <r>
    <x v="0"/>
    <s v="2023-05-03 20:49:47"/>
    <n v="1"/>
    <x v="6"/>
    <x v="14"/>
    <x v="2"/>
    <n v="7.0903671372871596E-2"/>
    <n v="2E+20"/>
    <n v="2.10771973389186E-2"/>
    <n v="0.150028631227416"/>
    <n v="174"/>
    <s v="Unnamed ProjectLlenadoProTotal Time Per EntityProcess"/>
    <n v="1"/>
    <n v="7.0903671372871596E-2"/>
    <n v="0"/>
    <n v="0.95"/>
    <n v="4E+20"/>
    <n v="7.0903671372871596E-2"/>
    <n v="7.0903671372871596E-2"/>
    <n v="2.10771973389186E-2"/>
    <n v="0.150028631227416"/>
    <n v="174"/>
    <n v="2E+20"/>
    <n v="1"/>
    <n v="1"/>
  </r>
  <r>
    <x v="0"/>
    <s v="2023-05-03 20:49:47"/>
    <n v="1"/>
    <x v="6"/>
    <x v="15"/>
    <x v="2"/>
    <n v="0"/>
    <n v="2E+20"/>
    <n v="0"/>
    <n v="0"/>
    <n v="174"/>
    <s v="Unnamed ProjectLlenadoProVA Cost Per EntityProcess"/>
    <n v="1"/>
    <n v="0"/>
    <n v="0"/>
    <n v="0.95"/>
    <n v="4E+20"/>
    <n v="0"/>
    <n v="0"/>
    <n v="0"/>
    <n v="0"/>
    <n v="174"/>
    <n v="2E+20"/>
    <n v="1"/>
    <n v="1"/>
  </r>
  <r>
    <x v="0"/>
    <s v="2023-05-03 20:49:47"/>
    <n v="1"/>
    <x v="6"/>
    <x v="16"/>
    <x v="2"/>
    <n v="4.8369033901061398E-2"/>
    <n v="2E+20"/>
    <n v="1.8440946413532399E-2"/>
    <n v="8.1607335434169301E-2"/>
    <n v="174"/>
    <s v="Unnamed ProjectLlenadoProVA Time Per EntityProcess"/>
    <n v="1"/>
    <n v="4.8369033901061398E-2"/>
    <n v="0"/>
    <n v="0.95"/>
    <n v="4E+20"/>
    <n v="4.8369033901061398E-2"/>
    <n v="4.8369033901061398E-2"/>
    <n v="1.8440946413532399E-2"/>
    <n v="8.1607335434169301E-2"/>
    <n v="174"/>
    <n v="2E+20"/>
    <n v="1"/>
    <n v="1"/>
  </r>
  <r>
    <x v="0"/>
    <s v="2023-05-03 20:49:47"/>
    <n v="1"/>
    <x v="6"/>
    <x v="17"/>
    <x v="2"/>
    <n v="0"/>
    <n v="2E+20"/>
    <n v="0"/>
    <n v="0"/>
    <n v="174"/>
    <s v="Unnamed ProjectLlenadoProWait Cost Per EntityProcess"/>
    <n v="1"/>
    <n v="0"/>
    <n v="0"/>
    <n v="0.95"/>
    <n v="4E+20"/>
    <n v="0"/>
    <n v="0"/>
    <n v="0"/>
    <n v="0"/>
    <n v="174"/>
    <n v="2E+20"/>
    <n v="1"/>
    <n v="1"/>
  </r>
  <r>
    <x v="0"/>
    <s v="2023-05-03 20:49:47"/>
    <n v="1"/>
    <x v="6"/>
    <x v="18"/>
    <x v="2"/>
    <n v="2.2534637471810101E-2"/>
    <n v="2E+20"/>
    <n v="0"/>
    <n v="0.105959074406774"/>
    <n v="174"/>
    <s v="Unnamed ProjectLlenadoProWait Time Per EntityProcess"/>
    <n v="1"/>
    <n v="2.2534637471810101E-2"/>
    <n v="0"/>
    <n v="0.95"/>
    <n v="4E+20"/>
    <n v="2.2534637471810101E-2"/>
    <n v="2.2534637471810101E-2"/>
    <n v="0"/>
    <n v="0.105959074406774"/>
    <n v="174"/>
    <n v="2E+20"/>
    <n v="1"/>
    <n v="1"/>
  </r>
  <r>
    <x v="0"/>
    <s v="2023-05-03 20:49:47"/>
    <n v="1"/>
    <x v="7"/>
    <x v="19"/>
    <x v="3"/>
    <n v="0"/>
    <n v="2E+20"/>
    <n v="0"/>
    <n v="0"/>
    <n v="174"/>
    <s v="Unnamed ProjectLlenadoPro.QueueWaiting CostQueue"/>
    <n v="1"/>
    <n v="0"/>
    <n v="0"/>
    <n v="0.95"/>
    <n v="4E+20"/>
    <n v="0"/>
    <n v="0"/>
    <n v="0"/>
    <n v="0"/>
    <n v="174"/>
    <n v="2E+20"/>
    <n v="1"/>
    <n v="1"/>
  </r>
  <r>
    <x v="0"/>
    <s v="2023-05-03 20:49:47"/>
    <n v="1"/>
    <x v="7"/>
    <x v="20"/>
    <x v="3"/>
    <n v="2.2534637471810101E-2"/>
    <n v="2E+20"/>
    <n v="0"/>
    <n v="0.105959074406774"/>
    <n v="174"/>
    <s v="Unnamed ProjectLlenadoPro.QueueWaiting TimeQueue"/>
    <n v="1"/>
    <n v="2.2534637471810101E-2"/>
    <n v="0"/>
    <n v="0.95"/>
    <n v="4E+20"/>
    <n v="2.2534637471810101E-2"/>
    <n v="2.2534637471810101E-2"/>
    <n v="0"/>
    <n v="0.105959074406774"/>
    <n v="174"/>
    <n v="2E+20"/>
    <n v="1"/>
    <n v="1"/>
  </r>
  <r>
    <x v="0"/>
    <s v="2023-05-03 20:49:47"/>
    <n v="1"/>
    <x v="8"/>
    <x v="13"/>
    <x v="2"/>
    <n v="0"/>
    <n v="2E+20"/>
    <n v="0"/>
    <n v="0"/>
    <n v="174"/>
    <s v="Unnamed ProjectTapadoProTotal Cost Per EntityProcess"/>
    <n v="1"/>
    <n v="0"/>
    <n v="0"/>
    <n v="0.95"/>
    <n v="4E+20"/>
    <n v="0"/>
    <n v="0"/>
    <n v="0"/>
    <n v="0"/>
    <n v="174"/>
    <n v="2E+20"/>
    <n v="1"/>
    <n v="1"/>
  </r>
  <r>
    <x v="0"/>
    <s v="2023-05-03 20:49:47"/>
    <n v="1"/>
    <x v="8"/>
    <x v="14"/>
    <x v="2"/>
    <n v="6.6892527211191294E-2"/>
    <n v="2E+20"/>
    <n v="4.9999999999999802E-2"/>
    <n v="0.162112944795616"/>
    <n v="174"/>
    <s v="Unnamed ProjectTapadoProTotal Time Per EntityProcess"/>
    <n v="1"/>
    <n v="6.6892527211191294E-2"/>
    <n v="0"/>
    <n v="0.95"/>
    <n v="4E+20"/>
    <n v="6.6892527211191294E-2"/>
    <n v="6.6892527211191294E-2"/>
    <n v="4.9999999999999802E-2"/>
    <n v="0.162112944795616"/>
    <n v="174"/>
    <n v="2E+20"/>
    <n v="1"/>
    <n v="1"/>
  </r>
  <r>
    <x v="0"/>
    <s v="2023-05-03 20:49:47"/>
    <n v="1"/>
    <x v="8"/>
    <x v="15"/>
    <x v="2"/>
    <n v="0"/>
    <n v="2E+20"/>
    <n v="0"/>
    <n v="0"/>
    <n v="174"/>
    <s v="Unnamed ProjectTapadoProVA Cost Per EntityProcess"/>
    <n v="1"/>
    <n v="0"/>
    <n v="0"/>
    <n v="0.95"/>
    <n v="4E+20"/>
    <n v="0"/>
    <n v="0"/>
    <n v="0"/>
    <n v="0"/>
    <n v="174"/>
    <n v="2E+20"/>
    <n v="1"/>
    <n v="1"/>
  </r>
  <r>
    <x v="0"/>
    <s v="2023-05-03 20:49:47"/>
    <n v="1"/>
    <x v="8"/>
    <x v="16"/>
    <x v="2"/>
    <n v="5.00000000000001E-2"/>
    <n v="2E+20"/>
    <n v="4.9999999999999802E-2"/>
    <n v="5.0000000000000697E-2"/>
    <n v="174"/>
    <s v="Unnamed ProjectTapadoProVA Time Per EntityProcess"/>
    <n v="1"/>
    <n v="5.00000000000001E-2"/>
    <n v="0"/>
    <n v="0.95"/>
    <n v="4E+20"/>
    <n v="5.00000000000001E-2"/>
    <n v="5.00000000000001E-2"/>
    <n v="4.9999999999999802E-2"/>
    <n v="5.0000000000000697E-2"/>
    <n v="174"/>
    <n v="2E+20"/>
    <n v="1"/>
    <n v="1"/>
  </r>
  <r>
    <x v="0"/>
    <s v="2023-05-03 20:49:47"/>
    <n v="1"/>
    <x v="8"/>
    <x v="17"/>
    <x v="2"/>
    <n v="0"/>
    <n v="2E+20"/>
    <n v="0"/>
    <n v="0"/>
    <n v="174"/>
    <s v="Unnamed ProjectTapadoProWait Cost Per EntityProcess"/>
    <n v="1"/>
    <n v="0"/>
    <n v="0"/>
    <n v="0.95"/>
    <n v="4E+20"/>
    <n v="0"/>
    <n v="0"/>
    <n v="0"/>
    <n v="0"/>
    <n v="174"/>
    <n v="2E+20"/>
    <n v="1"/>
    <n v="1"/>
  </r>
  <r>
    <x v="0"/>
    <s v="2023-05-03 20:49:47"/>
    <n v="1"/>
    <x v="8"/>
    <x v="18"/>
    <x v="2"/>
    <n v="1.6892527211191301E-2"/>
    <n v="2E+20"/>
    <n v="0"/>
    <n v="0.112112944795616"/>
    <n v="174"/>
    <s v="Unnamed ProjectTapadoProWait Time Per EntityProcess"/>
    <n v="1"/>
    <n v="1.6892527211191301E-2"/>
    <n v="0"/>
    <n v="0.95"/>
    <n v="4E+20"/>
    <n v="1.6892527211191301E-2"/>
    <n v="1.6892527211191301E-2"/>
    <n v="0"/>
    <n v="0.112112944795616"/>
    <n v="174"/>
    <n v="2E+20"/>
    <n v="1"/>
    <n v="1"/>
  </r>
  <r>
    <x v="0"/>
    <s v="2023-05-03 20:49:47"/>
    <n v="1"/>
    <x v="9"/>
    <x v="19"/>
    <x v="3"/>
    <n v="0"/>
    <n v="2E+20"/>
    <n v="0"/>
    <n v="0"/>
    <n v="174"/>
    <s v="Unnamed ProjectTapadoPro.QueueWaiting CostQueue"/>
    <n v="1"/>
    <n v="0"/>
    <n v="0"/>
    <n v="0.95"/>
    <n v="4E+20"/>
    <n v="0"/>
    <n v="0"/>
    <n v="0"/>
    <n v="0"/>
    <n v="174"/>
    <n v="2E+20"/>
    <n v="1"/>
    <n v="1"/>
  </r>
  <r>
    <x v="0"/>
    <s v="2023-05-03 20:49:47"/>
    <n v="1"/>
    <x v="9"/>
    <x v="20"/>
    <x v="3"/>
    <n v="1.6892527211191301E-2"/>
    <n v="2E+20"/>
    <n v="0"/>
    <n v="0.112112944795616"/>
    <n v="174"/>
    <s v="Unnamed ProjectTapadoPro.QueueWaiting TimeQueue"/>
    <n v="1"/>
    <n v="1.6892527211191301E-2"/>
    <n v="0"/>
    <n v="0.95"/>
    <n v="4E+20"/>
    <n v="1.6892527211191301E-2"/>
    <n v="1.6892527211191301E-2"/>
    <n v="0"/>
    <n v="0.112112944795616"/>
    <n v="174"/>
    <n v="2E+20"/>
    <n v="1"/>
    <n v="1"/>
  </r>
  <r>
    <x v="0"/>
    <s v="2023-05-03 20:49:47"/>
    <n v="1"/>
    <x v="10"/>
    <x v="21"/>
    <x v="0"/>
    <n v="1"/>
    <n v="2E+20"/>
    <n v="1"/>
    <n v="1"/>
    <n v="174"/>
    <s v="Unnamed ProjectTotal inExpressionUser Specified"/>
    <n v="1"/>
    <n v="1"/>
    <n v="0"/>
    <n v="0.95"/>
    <n v="4E+20"/>
    <n v="1"/>
    <n v="1"/>
    <n v="1"/>
    <n v="1"/>
    <n v="174"/>
    <n v="2E+20"/>
    <n v="1"/>
    <n v="1"/>
  </r>
  <r>
    <x v="0"/>
    <s v="2023-05-03 20:49:47"/>
    <n v="1"/>
    <x v="11"/>
    <x v="21"/>
    <x v="0"/>
    <n v="1"/>
    <n v="2E+20"/>
    <n v="1"/>
    <n v="1"/>
    <n v="174"/>
    <s v="Unnamed ProjectTotalesExpressionUser Specified"/>
    <n v="1"/>
    <n v="1"/>
    <n v="0"/>
    <n v="0.95"/>
    <n v="4E+20"/>
    <n v="1"/>
    <n v="1"/>
    <n v="1"/>
    <n v="1"/>
    <n v="174"/>
    <n v="2E+20"/>
    <n v="1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">
  <r>
    <x v="0"/>
    <s v="2023-05-03 20:49:47"/>
    <n v="1"/>
    <x v="0"/>
    <x v="0"/>
    <x v="0"/>
    <n v="0"/>
    <n v="0"/>
    <s v="Unnamed ProjectAll Entities.NVACostNVA CostSystem"/>
    <n v="1"/>
    <n v="0"/>
    <n v="0"/>
    <n v="0.95"/>
    <n v="4E+20"/>
    <n v="0"/>
    <n v="0"/>
  </r>
  <r>
    <x v="0"/>
    <s v="2023-05-03 20:49:47"/>
    <n v="1"/>
    <x v="1"/>
    <x v="1"/>
    <x v="0"/>
    <n v="0"/>
    <n v="0"/>
    <s v="Unnamed ProjectAll Entities.OtherCostOther CostSystem"/>
    <n v="1"/>
    <n v="0"/>
    <n v="0"/>
    <n v="0.95"/>
    <n v="4E+20"/>
    <n v="0"/>
    <n v="0"/>
  </r>
  <r>
    <x v="0"/>
    <s v="2023-05-03 20:49:47"/>
    <n v="1"/>
    <x v="2"/>
    <x v="2"/>
    <x v="0"/>
    <n v="0"/>
    <n v="0"/>
    <s v="Unnamed ProjectAll Entities.TotalCostTotal CostSystem"/>
    <n v="1"/>
    <n v="0"/>
    <n v="0"/>
    <n v="0.95"/>
    <n v="4E+20"/>
    <n v="0"/>
    <n v="0"/>
  </r>
  <r>
    <x v="0"/>
    <s v="2023-05-03 20:49:47"/>
    <n v="1"/>
    <x v="3"/>
    <x v="3"/>
    <x v="0"/>
    <n v="0"/>
    <n v="0"/>
    <s v="Unnamed ProjectAll Entities.TranCostTran CostSystem"/>
    <n v="1"/>
    <n v="0"/>
    <n v="0"/>
    <n v="0.95"/>
    <n v="4E+20"/>
    <n v="0"/>
    <n v="0"/>
  </r>
  <r>
    <x v="0"/>
    <s v="2023-05-03 20:49:47"/>
    <n v="1"/>
    <x v="4"/>
    <x v="4"/>
    <x v="0"/>
    <n v="0"/>
    <n v="0"/>
    <s v="Unnamed ProjectAll Entities.VACostVA CostSystem"/>
    <n v="1"/>
    <n v="0"/>
    <n v="0"/>
    <n v="0.95"/>
    <n v="4E+20"/>
    <n v="0"/>
    <n v="0"/>
  </r>
  <r>
    <x v="0"/>
    <s v="2023-05-03 20:49:47"/>
    <n v="1"/>
    <x v="5"/>
    <x v="5"/>
    <x v="0"/>
    <n v="0"/>
    <n v="0"/>
    <s v="Unnamed ProjectAll Entities.WaitCostWait CostSystem"/>
    <n v="1"/>
    <n v="0"/>
    <n v="0"/>
    <n v="0.95"/>
    <n v="4E+20"/>
    <n v="0"/>
    <n v="0"/>
  </r>
  <r>
    <x v="0"/>
    <s v="2023-05-03 20:49:47"/>
    <n v="1"/>
    <x v="6"/>
    <x v="6"/>
    <x v="0"/>
    <n v="0"/>
    <n v="0"/>
    <s v="Unnamed ProjectAll Resources.BusyCostBusy CostSystem"/>
    <n v="1"/>
    <n v="0"/>
    <n v="0"/>
    <n v="0.95"/>
    <n v="4E+20"/>
    <n v="0"/>
    <n v="0"/>
  </r>
  <r>
    <x v="0"/>
    <s v="2023-05-03 20:49:47"/>
    <n v="1"/>
    <x v="7"/>
    <x v="7"/>
    <x v="0"/>
    <n v="0"/>
    <n v="0"/>
    <s v="Unnamed ProjectAll Resources.IdleCostIdle CostSystem"/>
    <n v="1"/>
    <n v="0"/>
    <n v="0"/>
    <n v="0.95"/>
    <n v="4E+20"/>
    <n v="0"/>
    <n v="0"/>
  </r>
  <r>
    <x v="0"/>
    <s v="2023-05-03 20:49:47"/>
    <n v="1"/>
    <x v="8"/>
    <x v="2"/>
    <x v="0"/>
    <n v="0"/>
    <n v="0"/>
    <s v="Unnamed ProjectAll Resources.TotalCostTotal CostSystem"/>
    <n v="1"/>
    <n v="0"/>
    <n v="0"/>
    <n v="0.95"/>
    <n v="4E+20"/>
    <n v="0"/>
    <n v="0"/>
  </r>
  <r>
    <x v="0"/>
    <s v="2023-05-03 20:49:47"/>
    <n v="1"/>
    <x v="9"/>
    <x v="8"/>
    <x v="0"/>
    <n v="0"/>
    <n v="0"/>
    <s v="Unnamed ProjectAll Resources.UsageCostUsage CostSystem"/>
    <n v="1"/>
    <n v="0"/>
    <n v="0"/>
    <n v="0.95"/>
    <n v="4E+20"/>
    <n v="0"/>
    <n v="0"/>
  </r>
  <r>
    <x v="0"/>
    <s v="2023-05-03 20:49:47"/>
    <n v="1"/>
    <x v="10"/>
    <x v="9"/>
    <x v="1"/>
    <n v="174"/>
    <n v="0"/>
    <s v="Unnamed ProjectJobs.NumberInNumber InEntity"/>
    <n v="1"/>
    <n v="174"/>
    <n v="0"/>
    <n v="0.95"/>
    <n v="4E+20"/>
    <n v="174"/>
    <n v="174"/>
  </r>
  <r>
    <x v="0"/>
    <s v="2023-05-03 20:49:47"/>
    <n v="1"/>
    <x v="11"/>
    <x v="10"/>
    <x v="1"/>
    <n v="174"/>
    <n v="0"/>
    <s v="Unnamed ProjectJobs.NumberOutNumber OutEntity"/>
    <n v="1"/>
    <n v="174"/>
    <n v="0"/>
    <n v="0.95"/>
    <n v="4E+20"/>
    <n v="174"/>
    <n v="174"/>
  </r>
  <r>
    <x v="0"/>
    <s v="2023-05-03 20:49:47"/>
    <n v="1"/>
    <x v="12"/>
    <x v="11"/>
    <x v="2"/>
    <n v="0"/>
    <n v="0"/>
    <s v="Unnamed ProjectLlegada Accum VA CostAccum VA CostProcess"/>
    <n v="1"/>
    <n v="0"/>
    <n v="0"/>
    <n v="0.95"/>
    <n v="4E+20"/>
    <n v="0"/>
    <n v="0"/>
  </r>
  <r>
    <x v="0"/>
    <s v="2023-05-03 20:49:47"/>
    <n v="1"/>
    <x v="13"/>
    <x v="12"/>
    <x v="2"/>
    <n v="9.5633163642001993"/>
    <n v="0"/>
    <s v="Unnamed ProjectLlegada Accum VA TimeAccum VA TimeProcess"/>
    <n v="1"/>
    <n v="9.5633163642001993"/>
    <n v="0"/>
    <n v="0.95"/>
    <n v="4E+20"/>
    <n v="9.5633163642001993"/>
    <n v="9.5633163642001993"/>
  </r>
  <r>
    <x v="0"/>
    <s v="2023-05-03 20:49:47"/>
    <n v="1"/>
    <x v="14"/>
    <x v="13"/>
    <x v="2"/>
    <n v="0"/>
    <n v="0"/>
    <s v="Unnamed ProjectLlegada Accum Wait CostAccum Wait CostProcess"/>
    <n v="1"/>
    <n v="0"/>
    <n v="0"/>
    <n v="0.95"/>
    <n v="4E+20"/>
    <n v="0"/>
    <n v="0"/>
  </r>
  <r>
    <x v="0"/>
    <s v="2023-05-03 20:49:47"/>
    <n v="1"/>
    <x v="15"/>
    <x v="14"/>
    <x v="2"/>
    <n v="693.49567271917101"/>
    <n v="0"/>
    <s v="Unnamed ProjectLlegada Accum Wait TimeAccum Wait TimeProcess"/>
    <n v="1"/>
    <n v="693.49567271917101"/>
    <n v="0"/>
    <n v="0.95"/>
    <n v="4E+20"/>
    <n v="693.49567271917101"/>
    <n v="693.49567271917101"/>
  </r>
  <r>
    <x v="0"/>
    <s v="2023-05-03 20:49:47"/>
    <n v="1"/>
    <x v="16"/>
    <x v="9"/>
    <x v="2"/>
    <n v="174"/>
    <n v="0"/>
    <s v="Unnamed ProjectLlegada Number InNumber InProcess"/>
    <n v="1"/>
    <n v="174"/>
    <n v="0"/>
    <n v="0.95"/>
    <n v="4E+20"/>
    <n v="174"/>
    <n v="174"/>
  </r>
  <r>
    <x v="0"/>
    <s v="2023-05-03 20:49:47"/>
    <n v="1"/>
    <x v="17"/>
    <x v="10"/>
    <x v="2"/>
    <n v="174"/>
    <n v="0"/>
    <s v="Unnamed ProjectLlegada Number OutNumber OutProcess"/>
    <n v="1"/>
    <n v="174"/>
    <n v="0"/>
    <n v="0.95"/>
    <n v="4E+20"/>
    <n v="174"/>
    <n v="174"/>
  </r>
  <r>
    <x v="0"/>
    <s v="2023-05-03 20:49:47"/>
    <n v="1"/>
    <x v="18"/>
    <x v="15"/>
    <x v="2"/>
    <n v="0"/>
    <n v="0"/>
    <s v="Unnamed ProjectLlegada Total Accum CostTotal Accum CostProcess"/>
    <n v="1"/>
    <n v="0"/>
    <n v="0"/>
    <n v="0.95"/>
    <n v="4E+20"/>
    <n v="0"/>
    <n v="0"/>
  </r>
  <r>
    <x v="0"/>
    <s v="2023-05-03 20:49:47"/>
    <n v="1"/>
    <x v="19"/>
    <x v="16"/>
    <x v="2"/>
    <n v="703.05898908337099"/>
    <n v="0"/>
    <s v="Unnamed ProjectLlegada Total Accum TimeTotal Accum TimeProcess"/>
    <n v="1"/>
    <n v="703.05898908337099"/>
    <n v="0"/>
    <n v="0.95"/>
    <n v="4E+20"/>
    <n v="703.05898908337099"/>
    <n v="703.05898908337099"/>
  </r>
  <r>
    <x v="0"/>
    <s v="2023-05-03 20:49:47"/>
    <n v="1"/>
    <x v="20"/>
    <x v="6"/>
    <x v="3"/>
    <n v="0"/>
    <n v="0"/>
    <s v="Unnamed ProjectLlegar.BusyCostBusy CostResource"/>
    <n v="1"/>
    <n v="0"/>
    <n v="0"/>
    <n v="0.95"/>
    <n v="4E+20"/>
    <n v="0"/>
    <n v="0"/>
  </r>
  <r>
    <x v="0"/>
    <s v="2023-05-03 20:49:47"/>
    <n v="1"/>
    <x v="21"/>
    <x v="7"/>
    <x v="3"/>
    <n v="0"/>
    <n v="0"/>
    <s v="Unnamed ProjectLlegar.IdleCostIdle CostResource"/>
    <n v="1"/>
    <n v="0"/>
    <n v="0"/>
    <n v="0.95"/>
    <n v="4E+20"/>
    <n v="0"/>
    <n v="0"/>
  </r>
  <r>
    <x v="0"/>
    <s v="2023-05-03 20:49:47"/>
    <n v="1"/>
    <x v="22"/>
    <x v="17"/>
    <x v="3"/>
    <n v="174"/>
    <n v="0"/>
    <s v="Unnamed ProjectLlegar.NumberSeizedTotal Number SeizedResource"/>
    <n v="1"/>
    <n v="174"/>
    <n v="0"/>
    <n v="0.95"/>
    <n v="4E+20"/>
    <n v="174"/>
    <n v="174"/>
  </r>
  <r>
    <x v="0"/>
    <s v="2023-05-03 20:49:47"/>
    <n v="1"/>
    <x v="23"/>
    <x v="18"/>
    <x v="3"/>
    <n v="0.98699162328154499"/>
    <n v="0"/>
    <s v="Unnamed ProjectLlegar.ScheduledUtilizationScheduled UtilizationResource"/>
    <n v="1"/>
    <n v="0.98699162328154499"/>
    <n v="0"/>
    <n v="0.95"/>
    <n v="4E+20"/>
    <n v="0.98699162328154499"/>
    <n v="0.98699162328154499"/>
  </r>
  <r>
    <x v="0"/>
    <s v="2023-05-03 20:49:47"/>
    <n v="1"/>
    <x v="24"/>
    <x v="8"/>
    <x v="3"/>
    <n v="0"/>
    <n v="0"/>
    <s v="Unnamed ProjectLlegar.UsageCostUsage CostResource"/>
    <n v="1"/>
    <n v="0"/>
    <n v="0"/>
    <n v="0.95"/>
    <n v="4E+20"/>
    <n v="0"/>
    <n v="0"/>
  </r>
  <r>
    <x v="0"/>
    <s v="2023-05-03 20:49:47"/>
    <n v="1"/>
    <x v="25"/>
    <x v="11"/>
    <x v="2"/>
    <n v="0"/>
    <n v="0"/>
    <s v="Unnamed ProjectLlenadoPro Accum VA CostAccum VA CostProcess"/>
    <n v="1"/>
    <n v="0"/>
    <n v="0"/>
    <n v="0.95"/>
    <n v="4E+20"/>
    <n v="0"/>
    <n v="0"/>
  </r>
  <r>
    <x v="0"/>
    <s v="2023-05-03 20:49:47"/>
    <n v="1"/>
    <x v="26"/>
    <x v="12"/>
    <x v="2"/>
    <n v="8.4162118987847006"/>
    <n v="0"/>
    <s v="Unnamed ProjectLlenadoPro Accum VA TimeAccum VA TimeProcess"/>
    <n v="1"/>
    <n v="8.4162118987847006"/>
    <n v="0"/>
    <n v="0.95"/>
    <n v="4E+20"/>
    <n v="8.4162118987847006"/>
    <n v="8.4162118987847006"/>
  </r>
  <r>
    <x v="0"/>
    <s v="2023-05-03 20:49:47"/>
    <n v="1"/>
    <x v="27"/>
    <x v="13"/>
    <x v="2"/>
    <n v="0"/>
    <n v="0"/>
    <s v="Unnamed ProjectLlenadoPro Accum Wait CostAccum Wait CostProcess"/>
    <n v="1"/>
    <n v="0"/>
    <n v="0"/>
    <n v="0.95"/>
    <n v="4E+20"/>
    <n v="0"/>
    <n v="0"/>
  </r>
  <r>
    <x v="0"/>
    <s v="2023-05-03 20:49:47"/>
    <n v="1"/>
    <x v="28"/>
    <x v="14"/>
    <x v="2"/>
    <n v="3.9210269200949601"/>
    <n v="0"/>
    <s v="Unnamed ProjectLlenadoPro Accum Wait TimeAccum Wait TimeProcess"/>
    <n v="1"/>
    <n v="3.9210269200949601"/>
    <n v="0"/>
    <n v="0.95"/>
    <n v="4E+20"/>
    <n v="3.9210269200949601"/>
    <n v="3.9210269200949601"/>
  </r>
  <r>
    <x v="0"/>
    <s v="2023-05-03 20:49:47"/>
    <n v="1"/>
    <x v="29"/>
    <x v="9"/>
    <x v="2"/>
    <n v="174"/>
    <n v="0"/>
    <s v="Unnamed ProjectLlenadoPro Number InNumber InProcess"/>
    <n v="1"/>
    <n v="174"/>
    <n v="0"/>
    <n v="0.95"/>
    <n v="4E+20"/>
    <n v="174"/>
    <n v="174"/>
  </r>
  <r>
    <x v="0"/>
    <s v="2023-05-03 20:49:47"/>
    <n v="1"/>
    <x v="30"/>
    <x v="10"/>
    <x v="2"/>
    <n v="174"/>
    <n v="0"/>
    <s v="Unnamed ProjectLlenadoPro Number OutNumber OutProcess"/>
    <n v="1"/>
    <n v="174"/>
    <n v="0"/>
    <n v="0.95"/>
    <n v="4E+20"/>
    <n v="174"/>
    <n v="174"/>
  </r>
  <r>
    <x v="0"/>
    <s v="2023-05-03 20:49:47"/>
    <n v="1"/>
    <x v="31"/>
    <x v="15"/>
    <x v="2"/>
    <n v="0"/>
    <n v="0"/>
    <s v="Unnamed ProjectLlenadoPro Total Accum CostTotal Accum CostProcess"/>
    <n v="1"/>
    <n v="0"/>
    <n v="0"/>
    <n v="0.95"/>
    <n v="4E+20"/>
    <n v="0"/>
    <n v="0"/>
  </r>
  <r>
    <x v="0"/>
    <s v="2023-05-03 20:49:47"/>
    <n v="1"/>
    <x v="32"/>
    <x v="16"/>
    <x v="2"/>
    <n v="12.337238818879699"/>
    <n v="0"/>
    <s v="Unnamed ProjectLlenadoPro Total Accum TimeTotal Accum TimeProcess"/>
    <n v="1"/>
    <n v="12.337238818879699"/>
    <n v="0"/>
    <n v="0.95"/>
    <n v="4E+20"/>
    <n v="12.337238818879699"/>
    <n v="12.337238818879699"/>
  </r>
  <r>
    <x v="0"/>
    <s v="2023-05-03 20:49:47"/>
    <n v="1"/>
    <x v="33"/>
    <x v="6"/>
    <x v="3"/>
    <n v="0"/>
    <n v="0"/>
    <s v="Unnamed ProjectLlenar.BusyCostBusy CostResource"/>
    <n v="1"/>
    <n v="0"/>
    <n v="0"/>
    <n v="0.95"/>
    <n v="4E+20"/>
    <n v="0"/>
    <n v="0"/>
  </r>
  <r>
    <x v="0"/>
    <s v="2023-05-03 20:49:47"/>
    <n v="1"/>
    <x v="34"/>
    <x v="7"/>
    <x v="3"/>
    <n v="0"/>
    <n v="0"/>
    <s v="Unnamed ProjectLlenar.IdleCostIdle CostResource"/>
    <n v="1"/>
    <n v="0"/>
    <n v="0"/>
    <n v="0.95"/>
    <n v="4E+20"/>
    <n v="0"/>
    <n v="0"/>
  </r>
  <r>
    <x v="0"/>
    <s v="2023-05-03 20:49:47"/>
    <n v="1"/>
    <x v="35"/>
    <x v="17"/>
    <x v="3"/>
    <n v="174"/>
    <n v="0"/>
    <s v="Unnamed ProjectLlenar.NumberSeizedTotal Number SeizedResource"/>
    <n v="1"/>
    <n v="174"/>
    <n v="0"/>
    <n v="0.95"/>
    <n v="4E+20"/>
    <n v="174"/>
    <n v="174"/>
  </r>
  <r>
    <x v="0"/>
    <s v="2023-05-03 20:49:47"/>
    <n v="1"/>
    <x v="36"/>
    <x v="18"/>
    <x v="3"/>
    <n v="0.86860356047184695"/>
    <n v="0"/>
    <s v="Unnamed ProjectLlenar.ScheduledUtilizationScheduled UtilizationResource"/>
    <n v="1"/>
    <n v="0.86860356047184695"/>
    <n v="0"/>
    <n v="0.95"/>
    <n v="4E+20"/>
    <n v="0.86860356047184695"/>
    <n v="0.86860356047184695"/>
  </r>
  <r>
    <x v="0"/>
    <s v="2023-05-03 20:49:47"/>
    <n v="1"/>
    <x v="37"/>
    <x v="8"/>
    <x v="3"/>
    <n v="0"/>
    <n v="0"/>
    <s v="Unnamed ProjectLlenar.UsageCostUsage CostResource"/>
    <n v="1"/>
    <n v="0"/>
    <n v="0"/>
    <n v="0.95"/>
    <n v="4E+20"/>
    <n v="0"/>
    <n v="0"/>
  </r>
  <r>
    <x v="0"/>
    <s v="2023-05-03 20:49:47"/>
    <n v="1"/>
    <x v="38"/>
    <x v="10"/>
    <x v="0"/>
    <n v="174"/>
    <n v="0"/>
    <s v="Unnamed ProjectSystem.NumberOutNumber OutSystem"/>
    <n v="1"/>
    <n v="174"/>
    <n v="0"/>
    <n v="0.95"/>
    <n v="4E+20"/>
    <n v="174"/>
    <n v="174"/>
  </r>
  <r>
    <x v="0"/>
    <s v="2023-05-03 20:49:47"/>
    <n v="1"/>
    <x v="39"/>
    <x v="2"/>
    <x v="0"/>
    <n v="0"/>
    <n v="0"/>
    <s v="Unnamed ProjectSystem.TotalCostTotal CostSystem"/>
    <n v="1"/>
    <n v="0"/>
    <n v="0"/>
    <n v="0.95"/>
    <n v="4E+20"/>
    <n v="0"/>
    <n v="0"/>
  </r>
  <r>
    <x v="0"/>
    <s v="2023-05-03 20:49:47"/>
    <n v="1"/>
    <x v="40"/>
    <x v="11"/>
    <x v="2"/>
    <n v="0"/>
    <n v="0"/>
    <s v="Unnamed ProjectTapadoPro Accum VA CostAccum VA CostProcess"/>
    <n v="1"/>
    <n v="0"/>
    <n v="0"/>
    <n v="0.95"/>
    <n v="4E+20"/>
    <n v="0"/>
    <n v="0"/>
  </r>
  <r>
    <x v="0"/>
    <s v="2023-05-03 20:49:47"/>
    <n v="1"/>
    <x v="41"/>
    <x v="12"/>
    <x v="2"/>
    <n v="8.7000000000000099"/>
    <n v="0"/>
    <s v="Unnamed ProjectTapadoPro Accum VA TimeAccum VA TimeProcess"/>
    <n v="1"/>
    <n v="8.7000000000000099"/>
    <n v="0"/>
    <n v="0.95"/>
    <n v="4E+20"/>
    <n v="8.7000000000000099"/>
    <n v="8.7000000000000099"/>
  </r>
  <r>
    <x v="0"/>
    <s v="2023-05-03 20:49:47"/>
    <n v="1"/>
    <x v="42"/>
    <x v="13"/>
    <x v="2"/>
    <n v="0"/>
    <n v="0"/>
    <s v="Unnamed ProjectTapadoPro Accum Wait CostAccum Wait CostProcess"/>
    <n v="1"/>
    <n v="0"/>
    <n v="0"/>
    <n v="0.95"/>
    <n v="4E+20"/>
    <n v="0"/>
    <n v="0"/>
  </r>
  <r>
    <x v="0"/>
    <s v="2023-05-03 20:49:47"/>
    <n v="1"/>
    <x v="43"/>
    <x v="14"/>
    <x v="2"/>
    <n v="2.93929973474728"/>
    <n v="0"/>
    <s v="Unnamed ProjectTapadoPro Accum Wait TimeAccum Wait TimeProcess"/>
    <n v="1"/>
    <n v="2.93929973474728"/>
    <n v="0"/>
    <n v="0.95"/>
    <n v="4E+20"/>
    <n v="2.93929973474728"/>
    <n v="2.93929973474728"/>
  </r>
  <r>
    <x v="0"/>
    <s v="2023-05-03 20:49:47"/>
    <n v="1"/>
    <x v="44"/>
    <x v="9"/>
    <x v="2"/>
    <n v="174"/>
    <n v="0"/>
    <s v="Unnamed ProjectTapadoPro Number InNumber InProcess"/>
    <n v="1"/>
    <n v="174"/>
    <n v="0"/>
    <n v="0.95"/>
    <n v="4E+20"/>
    <n v="174"/>
    <n v="174"/>
  </r>
  <r>
    <x v="0"/>
    <s v="2023-05-03 20:49:47"/>
    <n v="1"/>
    <x v="45"/>
    <x v="10"/>
    <x v="2"/>
    <n v="174"/>
    <n v="0"/>
    <s v="Unnamed ProjectTapadoPro Number OutNumber OutProcess"/>
    <n v="1"/>
    <n v="174"/>
    <n v="0"/>
    <n v="0.95"/>
    <n v="4E+20"/>
    <n v="174"/>
    <n v="174"/>
  </r>
  <r>
    <x v="0"/>
    <s v="2023-05-03 20:49:47"/>
    <n v="1"/>
    <x v="46"/>
    <x v="15"/>
    <x v="2"/>
    <n v="0"/>
    <n v="0"/>
    <s v="Unnamed ProjectTapadoPro Total Accum CostTotal Accum CostProcess"/>
    <n v="1"/>
    <n v="0"/>
    <n v="0"/>
    <n v="0.95"/>
    <n v="4E+20"/>
    <n v="0"/>
    <n v="0"/>
  </r>
  <r>
    <x v="0"/>
    <s v="2023-05-03 20:49:47"/>
    <n v="1"/>
    <x v="47"/>
    <x v="16"/>
    <x v="2"/>
    <n v="11.639299734747301"/>
    <n v="0"/>
    <s v="Unnamed ProjectTapadoPro Total Accum TimeTotal Accum TimeProcess"/>
    <n v="1"/>
    <n v="11.639299734747301"/>
    <n v="0"/>
    <n v="0.95"/>
    <n v="4E+20"/>
    <n v="11.639299734747301"/>
    <n v="11.639299734747301"/>
  </r>
  <r>
    <x v="0"/>
    <s v="2023-05-03 20:49:47"/>
    <n v="1"/>
    <x v="48"/>
    <x v="6"/>
    <x v="3"/>
    <n v="0"/>
    <n v="0"/>
    <s v="Unnamed ProjectTapar.BusyCostBusy CostResource"/>
    <n v="1"/>
    <n v="0"/>
    <n v="0"/>
    <n v="0.95"/>
    <n v="4E+20"/>
    <n v="0"/>
    <n v="0"/>
  </r>
  <r>
    <x v="0"/>
    <s v="2023-05-03 20:49:47"/>
    <n v="1"/>
    <x v="49"/>
    <x v="7"/>
    <x v="3"/>
    <n v="0"/>
    <n v="0"/>
    <s v="Unnamed ProjectTapar.IdleCostIdle CostResource"/>
    <n v="1"/>
    <n v="0"/>
    <n v="0"/>
    <n v="0.95"/>
    <n v="4E+20"/>
    <n v="0"/>
    <n v="0"/>
  </r>
  <r>
    <x v="0"/>
    <s v="2023-05-03 20:49:47"/>
    <n v="1"/>
    <x v="50"/>
    <x v="17"/>
    <x v="3"/>
    <n v="174"/>
    <n v="0"/>
    <s v="Unnamed ProjectTapar.NumberSeizedTotal Number SeizedResource"/>
    <n v="1"/>
    <n v="174"/>
    <n v="0"/>
    <n v="0.95"/>
    <n v="4E+20"/>
    <n v="174"/>
    <n v="174"/>
  </r>
  <r>
    <x v="0"/>
    <s v="2023-05-03 20:49:47"/>
    <n v="1"/>
    <x v="51"/>
    <x v="18"/>
    <x v="3"/>
    <n v="0.89789219508556795"/>
    <n v="0"/>
    <s v="Unnamed ProjectTapar.ScheduledUtilizationScheduled UtilizationResource"/>
    <n v="1"/>
    <n v="0.89789219508556795"/>
    <n v="0"/>
    <n v="0.95"/>
    <n v="4E+20"/>
    <n v="0.89789219508556795"/>
    <n v="0.89789219508556795"/>
  </r>
  <r>
    <x v="0"/>
    <s v="2023-05-03 20:49:47"/>
    <n v="1"/>
    <x v="52"/>
    <x v="8"/>
    <x v="3"/>
    <n v="0"/>
    <n v="0"/>
    <s v="Unnamed ProjectTapar.UsageCostUsage CostResource"/>
    <n v="1"/>
    <n v="0"/>
    <n v="0"/>
    <n v="0.95"/>
    <n v="4E+20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x v="0"/>
    <s v="2023-05-03 20:49:47"/>
    <n v="1"/>
    <x v="0"/>
    <x v="0"/>
    <x v="0"/>
    <n v="75.034428254618106"/>
    <n v="3E+20"/>
    <n v="0"/>
    <n v="148"/>
    <n v="0"/>
    <n v="0"/>
    <s v="Unnamed ProjectJobsWIPEntity"/>
    <n v="1"/>
    <n v="75.034428254618106"/>
    <n v="0"/>
    <n v="0.95"/>
    <n v="4E+20"/>
    <n v="75.034428254618106"/>
    <n v="75.034428254618106"/>
    <n v="3E+20"/>
  </r>
  <r>
    <x v="0"/>
    <s v="2023-05-03 20:49:47"/>
    <n v="1"/>
    <x v="1"/>
    <x v="1"/>
    <x v="1"/>
    <n v="71.5729140069148"/>
    <n v="3E+20"/>
    <n v="0"/>
    <n v="144"/>
    <n v="0"/>
    <n v="0"/>
    <s v="Unnamed ProjectLlegada.QueueNumber WaitingQueue"/>
    <n v="1"/>
    <n v="71.5729140069148"/>
    <n v="0"/>
    <n v="0.95"/>
    <n v="4E+20"/>
    <n v="71.5729140069148"/>
    <n v="71.5729140069148"/>
    <n v="3E+20"/>
  </r>
  <r>
    <x v="0"/>
    <s v="2023-05-03 20:49:47"/>
    <n v="1"/>
    <x v="2"/>
    <x v="2"/>
    <x v="2"/>
    <n v="0.98699162328154499"/>
    <n v="2E+20"/>
    <n v="0"/>
    <n v="1"/>
    <n v="0"/>
    <n v="0"/>
    <s v="Unnamed ProjectLlegarInstantaneous UtilizationResource"/>
    <n v="1"/>
    <n v="0.98699162328154499"/>
    <n v="0"/>
    <n v="0.95"/>
    <n v="4E+20"/>
    <n v="0.98699162328154499"/>
    <n v="0.98699162328154499"/>
    <n v="2E+20"/>
  </r>
  <r>
    <x v="0"/>
    <s v="2023-05-03 20:49:47"/>
    <n v="1"/>
    <x v="2"/>
    <x v="3"/>
    <x v="2"/>
    <n v="0.98699162328154499"/>
    <n v="2E+20"/>
    <n v="0"/>
    <n v="1"/>
    <n v="0"/>
    <n v="0"/>
    <s v="Unnamed ProjectLlegarNumber BusyResource"/>
    <n v="1"/>
    <n v="0.98699162328154499"/>
    <n v="0"/>
    <n v="0.95"/>
    <n v="4E+20"/>
    <n v="0.98699162328154499"/>
    <n v="0.98699162328154499"/>
    <n v="2E+20"/>
  </r>
  <r>
    <x v="0"/>
    <s v="2023-05-03 20:49:47"/>
    <n v="1"/>
    <x v="2"/>
    <x v="4"/>
    <x v="2"/>
    <n v="1"/>
    <n v="2E+20"/>
    <n v="1"/>
    <n v="1"/>
    <n v="1"/>
    <n v="0"/>
    <s v="Unnamed ProjectLlegarNumber ScheduledResource"/>
    <n v="1"/>
    <n v="1"/>
    <n v="0"/>
    <n v="0.95"/>
    <n v="4E+20"/>
    <n v="1"/>
    <n v="1"/>
    <n v="2E+20"/>
  </r>
  <r>
    <x v="0"/>
    <s v="2023-05-03 20:49:47"/>
    <n v="1"/>
    <x v="3"/>
    <x v="1"/>
    <x v="1"/>
    <n v="0.40467350210042102"/>
    <n v="2E+20"/>
    <n v="0"/>
    <n v="3"/>
    <n v="0"/>
    <n v="0"/>
    <s v="Unnamed ProjectLlenadoPro.QueueNumber WaitingQueue"/>
    <n v="1"/>
    <n v="0.40467350210042102"/>
    <n v="0"/>
    <n v="0.95"/>
    <n v="4E+20"/>
    <n v="0.40467350210042102"/>
    <n v="0.40467350210042102"/>
    <n v="2E+20"/>
  </r>
  <r>
    <x v="0"/>
    <s v="2023-05-03 20:49:47"/>
    <n v="1"/>
    <x v="4"/>
    <x v="2"/>
    <x v="2"/>
    <n v="0.86860356047184695"/>
    <n v="2E+20"/>
    <n v="0"/>
    <n v="1"/>
    <n v="0"/>
    <n v="0"/>
    <s v="Unnamed ProjectLlenarInstantaneous UtilizationResource"/>
    <n v="1"/>
    <n v="0.86860356047184695"/>
    <n v="0"/>
    <n v="0.95"/>
    <n v="4E+20"/>
    <n v="0.86860356047184695"/>
    <n v="0.86860356047184695"/>
    <n v="2E+20"/>
  </r>
  <r>
    <x v="0"/>
    <s v="2023-05-03 20:49:47"/>
    <n v="1"/>
    <x v="4"/>
    <x v="3"/>
    <x v="2"/>
    <n v="0.86860356047184695"/>
    <n v="2E+20"/>
    <n v="0"/>
    <n v="1"/>
    <n v="0"/>
    <n v="0"/>
    <s v="Unnamed ProjectLlenarNumber BusyResource"/>
    <n v="1"/>
    <n v="0.86860356047184695"/>
    <n v="0"/>
    <n v="0.95"/>
    <n v="4E+20"/>
    <n v="0.86860356047184695"/>
    <n v="0.86860356047184695"/>
    <n v="2E+20"/>
  </r>
  <r>
    <x v="0"/>
    <s v="2023-05-03 20:49:47"/>
    <n v="1"/>
    <x v="4"/>
    <x v="4"/>
    <x v="2"/>
    <n v="1"/>
    <n v="2E+20"/>
    <n v="1"/>
    <n v="1"/>
    <n v="1"/>
    <n v="0"/>
    <s v="Unnamed ProjectLlenarNumber ScheduledResource"/>
    <n v="1"/>
    <n v="1"/>
    <n v="0"/>
    <n v="0.95"/>
    <n v="4E+20"/>
    <n v="1"/>
    <n v="1"/>
    <n v="2E+20"/>
  </r>
  <r>
    <x v="0"/>
    <s v="2023-05-03 20:49:47"/>
    <n v="1"/>
    <x v="5"/>
    <x v="1"/>
    <x v="1"/>
    <n v="0.303353366763984"/>
    <n v="2E+20"/>
    <n v="0"/>
    <n v="3"/>
    <n v="0"/>
    <n v="0"/>
    <s v="Unnamed ProjectTapadoPro.QueueNumber WaitingQueue"/>
    <n v="1"/>
    <n v="0.303353366763984"/>
    <n v="0"/>
    <n v="0.95"/>
    <n v="4E+20"/>
    <n v="0.303353366763984"/>
    <n v="0.303353366763984"/>
    <n v="2E+20"/>
  </r>
  <r>
    <x v="0"/>
    <s v="2023-05-03 20:49:47"/>
    <n v="1"/>
    <x v="6"/>
    <x v="2"/>
    <x v="2"/>
    <n v="0.89789219508556795"/>
    <n v="2E+20"/>
    <n v="0"/>
    <n v="1"/>
    <n v="0"/>
    <n v="0"/>
    <s v="Unnamed ProjectTaparInstantaneous UtilizationResource"/>
    <n v="1"/>
    <n v="0.89789219508556795"/>
    <n v="0"/>
    <n v="0.95"/>
    <n v="4E+20"/>
    <n v="0.89789219508556795"/>
    <n v="0.89789219508556795"/>
    <n v="2E+20"/>
  </r>
  <r>
    <x v="0"/>
    <s v="2023-05-03 20:49:47"/>
    <n v="1"/>
    <x v="6"/>
    <x v="3"/>
    <x v="2"/>
    <n v="0.89789219508556795"/>
    <n v="2E+20"/>
    <n v="0"/>
    <n v="1"/>
    <n v="0"/>
    <n v="0"/>
    <s v="Unnamed ProjectTaparNumber BusyResource"/>
    <n v="1"/>
    <n v="0.89789219508556795"/>
    <n v="0"/>
    <n v="0.95"/>
    <n v="4E+20"/>
    <n v="0.89789219508556795"/>
    <n v="0.89789219508556795"/>
    <n v="2E+20"/>
  </r>
  <r>
    <x v="0"/>
    <s v="2023-05-03 20:49:47"/>
    <n v="1"/>
    <x v="6"/>
    <x v="4"/>
    <x v="2"/>
    <n v="1"/>
    <n v="2E+20"/>
    <n v="1"/>
    <n v="1"/>
    <n v="1"/>
    <n v="0"/>
    <s v="Unnamed ProjectTaparNumber ScheduledResource"/>
    <n v="1"/>
    <n v="1"/>
    <n v="0"/>
    <n v="0.95"/>
    <n v="4E+20"/>
    <n v="1"/>
    <n v="1"/>
    <n v="2E+2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40" applyNumberFormats="0" applyBorderFormats="0" applyFontFormats="0" applyPatternFormats="0" applyAlignmentFormats="0" applyWidthHeightFormats="1" dataCaption="Values" updatedVersion="7" minRefreshableVersion="3" showDataTips="0" useAutoFormatting="1" rowGrandTotals="0" colGrandTotals="0" itemPrintTitles="1" createdVersion="7" indent="0" compact="0" compactData="0" multipleFieldFilters="0">
  <location ref="A2:M43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11">
        <item m="1" x="22"/>
        <item m="1" x="45"/>
        <item m="1" x="17"/>
        <item m="1" x="97"/>
        <item m="1" x="80"/>
        <item m="1" x="50"/>
        <item m="1" x="106"/>
        <item m="1" x="38"/>
        <item m="1" x="42"/>
        <item m="1" x="109"/>
        <item m="1" x="75"/>
        <item m="1" x="87"/>
        <item m="1" x="92"/>
        <item m="1" x="16"/>
        <item m="1" x="44"/>
        <item m="1" x="34"/>
        <item m="1" x="110"/>
        <item m="1" x="104"/>
        <item m="1" x="32"/>
        <item m="1" x="26"/>
        <item m="1" x="98"/>
        <item m="1" x="18"/>
        <item m="1" x="51"/>
        <item m="1" x="37"/>
        <item m="1" x="62"/>
        <item m="1" x="89"/>
        <item m="1" x="53"/>
        <item m="1" x="23"/>
        <item m="1" x="47"/>
        <item m="1" x="76"/>
        <item m="1" x="66"/>
        <item m="1" x="24"/>
        <item m="1" x="83"/>
        <item m="1" x="15"/>
        <item m="1" x="103"/>
        <item m="1" x="71"/>
        <item m="1" x="91"/>
        <item m="1" x="46"/>
        <item m="1" x="105"/>
        <item m="1" x="74"/>
        <item m="1" x="28"/>
        <item m="1" x="65"/>
        <item m="1" x="79"/>
        <item m="1" x="90"/>
        <item m="1" x="96"/>
        <item m="1" x="14"/>
        <item m="1" x="27"/>
        <item m="1" x="36"/>
        <item m="1" x="29"/>
        <item m="1" x="13"/>
        <item m="1" x="88"/>
        <item m="1" x="100"/>
        <item m="1" x="40"/>
        <item m="1" x="70"/>
        <item m="1" x="31"/>
        <item m="1" x="48"/>
        <item m="1" x="35"/>
        <item m="1" x="56"/>
        <item m="1" x="43"/>
        <item m="1" x="63"/>
        <item m="1" x="49"/>
        <item m="1" x="72"/>
        <item m="1" x="57"/>
        <item m="1" x="77"/>
        <item m="1" x="64"/>
        <item m="1" x="85"/>
        <item m="1" x="78"/>
        <item m="1" x="93"/>
        <item m="1" x="101"/>
        <item m="1" x="81"/>
        <item m="1" x="60"/>
        <item m="1" x="41"/>
        <item m="1" x="54"/>
        <item m="1" x="25"/>
        <item m="1" x="30"/>
        <item m="1" x="39"/>
        <item m="1" x="67"/>
        <item m="1" x="102"/>
        <item m="1" x="95"/>
        <item m="1" x="82"/>
        <item m="1" x="55"/>
        <item m="1" x="68"/>
        <item m="1" x="59"/>
        <item m="1" x="84"/>
        <item m="1" x="69"/>
        <item m="1" x="52"/>
        <item m="1" x="58"/>
        <item m="1" x="21"/>
        <item m="1" x="61"/>
        <item m="1" x="73"/>
        <item m="1" x="86"/>
        <item m="1" x="94"/>
        <item m="1" x="99"/>
        <item m="1" x="108"/>
        <item m="1" x="19"/>
        <item m="1" x="33"/>
        <item m="1" x="107"/>
        <item m="1" x="20"/>
        <item m="1" x="12"/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xis="axisRow" compact="0" outline="0" showAll="0" defaultSubtotal="0">
      <items count="23">
        <item x="0"/>
        <item x="2"/>
        <item x="4"/>
        <item x="6"/>
        <item x="8"/>
        <item x="10"/>
        <item x="12"/>
        <item x="20"/>
        <item x="14"/>
        <item x="16"/>
        <item x="18"/>
        <item m="1" x="22"/>
        <item x="1"/>
        <item x="3"/>
        <item x="5"/>
        <item x="7"/>
        <item x="9"/>
        <item x="11"/>
        <item x="13"/>
        <item x="15"/>
        <item x="17"/>
        <item x="19"/>
        <item x="21"/>
      </items>
    </pivotField>
    <pivotField axis="axisRow" compact="0" outline="0" showAll="0" defaultSubtotal="0">
      <items count="5">
        <item x="1"/>
        <item x="3"/>
        <item x="0"/>
        <item x="2"/>
        <item m="1" x="4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41">
    <i>
      <x v="3"/>
      <x v="99"/>
      <x/>
      <x v="2"/>
    </i>
    <i r="1">
      <x v="100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2">
      <x v="12"/>
      <x/>
    </i>
    <i r="2">
      <x v="13"/>
      <x/>
    </i>
    <i r="2">
      <x v="14"/>
      <x/>
    </i>
    <i r="2">
      <x v="15"/>
      <x/>
    </i>
    <i r="2">
      <x v="16"/>
      <x/>
    </i>
    <i r="2">
      <x v="17"/>
      <x/>
    </i>
    <i r="1">
      <x v="101"/>
      <x v="8"/>
      <x v="3"/>
    </i>
    <i r="2">
      <x v="9"/>
      <x v="3"/>
    </i>
    <i r="2">
      <x v="10"/>
      <x v="3"/>
    </i>
    <i r="2">
      <x v="18"/>
      <x v="3"/>
    </i>
    <i r="2">
      <x v="19"/>
      <x v="3"/>
    </i>
    <i r="2">
      <x v="20"/>
      <x v="3"/>
    </i>
    <i r="1">
      <x v="102"/>
      <x v="7"/>
      <x v="1"/>
    </i>
    <i r="2">
      <x v="21"/>
      <x v="1"/>
    </i>
    <i r="1">
      <x v="103"/>
      <x v="22"/>
      <x v="2"/>
    </i>
    <i r="1">
      <x v="104"/>
      <x v="22"/>
      <x v="2"/>
    </i>
    <i r="1">
      <x v="105"/>
      <x v="8"/>
      <x v="3"/>
    </i>
    <i r="2">
      <x v="9"/>
      <x v="3"/>
    </i>
    <i r="2">
      <x v="10"/>
      <x v="3"/>
    </i>
    <i r="2">
      <x v="18"/>
      <x v="3"/>
    </i>
    <i r="2">
      <x v="19"/>
      <x v="3"/>
    </i>
    <i r="2">
      <x v="20"/>
      <x v="3"/>
    </i>
    <i r="1">
      <x v="106"/>
      <x v="7"/>
      <x v="1"/>
    </i>
    <i r="2">
      <x v="21"/>
      <x v="1"/>
    </i>
    <i r="1">
      <x v="107"/>
      <x v="8"/>
      <x v="3"/>
    </i>
    <i r="2">
      <x v="9"/>
      <x v="3"/>
    </i>
    <i r="2">
      <x v="10"/>
      <x v="3"/>
    </i>
    <i r="2">
      <x v="18"/>
      <x v="3"/>
    </i>
    <i r="2">
      <x v="19"/>
      <x v="3"/>
    </i>
    <i r="2">
      <x v="20"/>
      <x v="3"/>
    </i>
    <i r="1">
      <x v="108"/>
      <x v="7"/>
      <x v="1"/>
    </i>
    <i r="2">
      <x v="21"/>
      <x v="1"/>
    </i>
    <i r="1">
      <x v="109"/>
      <x v="22"/>
      <x v="2"/>
    </i>
    <i r="1">
      <x v="110"/>
      <x v="22"/>
      <x v="2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46" applyNumberFormats="0" applyBorderFormats="0" applyFontFormats="0" applyPatternFormats="0" applyAlignmentFormats="0" applyWidthHeightFormats="1" dataCaption="Values" updatedVersion="7" minRefreshableVersion="3" showDataTips="0" useAutoFormatting="1" rowGrandTotals="0" colGrandTotals="0" itemPrintTitles="1" createdVersion="7" indent="0" compact="0" compactData="0" multipleFieldFilters="0">
  <location ref="AK2:AS55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1">
        <item m="1" x="78"/>
        <item m="1" x="54"/>
        <item m="1" x="79"/>
        <item m="1" x="55"/>
        <item m="1" x="80"/>
        <item m="1" x="56"/>
        <item m="1" x="81"/>
        <item m="1" x="57"/>
        <item m="1" x="113"/>
        <item m="1" x="68"/>
        <item x="38"/>
        <item m="1" x="112"/>
        <item m="1" x="99"/>
        <item m="1" x="116"/>
        <item m="1" x="101"/>
        <item m="1" x="117"/>
        <item m="1" x="124"/>
        <item m="1" x="93"/>
        <item m="1" x="61"/>
        <item m="1" x="110"/>
        <item m="1" x="100"/>
        <item m="1" x="98"/>
        <item m="1" x="64"/>
        <item m="1" x="108"/>
        <item m="1" x="73"/>
        <item m="1" x="109"/>
        <item m="1" x="74"/>
        <item m="1" x="107"/>
        <item m="1" x="127"/>
        <item m="1" x="67"/>
        <item m="1" x="130"/>
        <item m="1" x="95"/>
        <item m="1" x="62"/>
        <item m="1" x="125"/>
        <item m="1" x="120"/>
        <item m="1" x="96"/>
        <item m="1" x="63"/>
        <item m="1" x="126"/>
        <item m="1" x="121"/>
        <item m="1" x="58"/>
        <item m="1" x="92"/>
        <item m="1" x="76"/>
        <item m="1" x="66"/>
        <item m="1" x="118"/>
        <item m="1" x="88"/>
        <item m="1" x="119"/>
        <item m="1" x="89"/>
        <item m="1" x="75"/>
        <item m="1" x="70"/>
        <item m="1" x="97"/>
        <item m="1" x="72"/>
        <item m="1" x="129"/>
        <item m="1" x="122"/>
        <item m="1" x="71"/>
        <item m="1" x="69"/>
        <item m="1" x="114"/>
        <item m="1" x="123"/>
        <item m="1" x="59"/>
        <item m="1" x="77"/>
        <item m="1" x="90"/>
        <item m="1" x="111"/>
        <item m="1" x="128"/>
        <item m="1" x="60"/>
        <item m="1" x="87"/>
        <item m="1" x="91"/>
        <item m="1" x="115"/>
        <item m="1" x="94"/>
        <item m="1" x="65"/>
        <item m="1" x="82"/>
        <item m="1" x="102"/>
        <item m="1" x="83"/>
        <item m="1" x="103"/>
        <item m="1" x="84"/>
        <item m="1" x="104"/>
        <item m="1" x="85"/>
        <item m="1" x="105"/>
        <item m="1" x="86"/>
        <item m="1" x="106"/>
        <item m="1" x="5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</items>
    </pivotField>
    <pivotField axis="axisRow" compact="0" outline="0" showAll="0" defaultSubtotal="0">
      <items count="20">
        <item x="9"/>
        <item x="10"/>
        <item x="18"/>
        <item x="17"/>
        <item x="12"/>
        <item x="14"/>
        <item m="1" x="19"/>
        <item x="0"/>
        <item x="1"/>
        <item x="2"/>
        <item x="3"/>
        <item x="4"/>
        <item x="5"/>
        <item x="6"/>
        <item x="7"/>
        <item x="8"/>
        <item x="11"/>
        <item x="13"/>
        <item x="15"/>
        <item x="16"/>
      </items>
    </pivotField>
    <pivotField axis="axisRow" compact="0" outline="0" showAll="0" defaultSubtotal="0">
      <items count="5">
        <item x="1"/>
        <item x="3"/>
        <item x="0"/>
        <item x="2"/>
        <item m="1" x="4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3">
    <i>
      <x v="3"/>
      <x v="10"/>
      <x v="1"/>
      <x v="2"/>
    </i>
    <i r="1">
      <x v="79"/>
      <x v="7"/>
      <x v="2"/>
    </i>
    <i r="1">
      <x v="80"/>
      <x v="8"/>
      <x v="2"/>
    </i>
    <i r="1">
      <x v="81"/>
      <x v="9"/>
      <x v="2"/>
    </i>
    <i r="1">
      <x v="82"/>
      <x v="10"/>
      <x v="2"/>
    </i>
    <i r="1">
      <x v="83"/>
      <x v="11"/>
      <x v="2"/>
    </i>
    <i r="1">
      <x v="84"/>
      <x v="12"/>
      <x v="2"/>
    </i>
    <i r="1">
      <x v="85"/>
      <x v="13"/>
      <x v="2"/>
    </i>
    <i r="1">
      <x v="86"/>
      <x v="14"/>
      <x v="2"/>
    </i>
    <i r="1">
      <x v="87"/>
      <x v="9"/>
      <x v="2"/>
    </i>
    <i r="1">
      <x v="88"/>
      <x v="15"/>
      <x v="2"/>
    </i>
    <i r="1">
      <x v="89"/>
      <x/>
      <x/>
    </i>
    <i r="1">
      <x v="90"/>
      <x v="1"/>
      <x/>
    </i>
    <i r="1">
      <x v="91"/>
      <x v="16"/>
      <x v="3"/>
    </i>
    <i r="1">
      <x v="92"/>
      <x v="4"/>
      <x v="3"/>
    </i>
    <i r="1">
      <x v="93"/>
      <x v="17"/>
      <x v="3"/>
    </i>
    <i r="1">
      <x v="94"/>
      <x v="5"/>
      <x v="3"/>
    </i>
    <i r="1">
      <x v="95"/>
      <x/>
      <x v="3"/>
    </i>
    <i r="1">
      <x v="96"/>
      <x v="1"/>
      <x v="3"/>
    </i>
    <i r="1">
      <x v="97"/>
      <x v="18"/>
      <x v="3"/>
    </i>
    <i r="1">
      <x v="98"/>
      <x v="19"/>
      <x v="3"/>
    </i>
    <i r="1">
      <x v="99"/>
      <x v="13"/>
      <x v="1"/>
    </i>
    <i r="1">
      <x v="100"/>
      <x v="14"/>
      <x v="1"/>
    </i>
    <i r="1">
      <x v="101"/>
      <x v="3"/>
      <x v="1"/>
    </i>
    <i r="1">
      <x v="102"/>
      <x v="2"/>
      <x v="1"/>
    </i>
    <i r="1">
      <x v="103"/>
      <x v="15"/>
      <x v="1"/>
    </i>
    <i r="1">
      <x v="104"/>
      <x v="16"/>
      <x v="3"/>
    </i>
    <i r="1">
      <x v="105"/>
      <x v="4"/>
      <x v="3"/>
    </i>
    <i r="1">
      <x v="106"/>
      <x v="17"/>
      <x v="3"/>
    </i>
    <i r="1">
      <x v="107"/>
      <x v="5"/>
      <x v="3"/>
    </i>
    <i r="1">
      <x v="108"/>
      <x/>
      <x v="3"/>
    </i>
    <i r="1">
      <x v="109"/>
      <x v="1"/>
      <x v="3"/>
    </i>
    <i r="1">
      <x v="110"/>
      <x v="18"/>
      <x v="3"/>
    </i>
    <i r="1">
      <x v="111"/>
      <x v="19"/>
      <x v="3"/>
    </i>
    <i r="1">
      <x v="112"/>
      <x v="13"/>
      <x v="1"/>
    </i>
    <i r="1">
      <x v="113"/>
      <x v="14"/>
      <x v="1"/>
    </i>
    <i r="1">
      <x v="114"/>
      <x v="3"/>
      <x v="1"/>
    </i>
    <i r="1">
      <x v="115"/>
      <x v="2"/>
      <x v="1"/>
    </i>
    <i r="1">
      <x v="116"/>
      <x v="15"/>
      <x v="1"/>
    </i>
    <i r="1">
      <x v="117"/>
      <x v="9"/>
      <x v="2"/>
    </i>
    <i r="1">
      <x v="118"/>
      <x v="16"/>
      <x v="3"/>
    </i>
    <i r="1">
      <x v="119"/>
      <x v="4"/>
      <x v="3"/>
    </i>
    <i r="1">
      <x v="120"/>
      <x v="17"/>
      <x v="3"/>
    </i>
    <i r="1">
      <x v="121"/>
      <x v="5"/>
      <x v="3"/>
    </i>
    <i r="1">
      <x v="122"/>
      <x/>
      <x v="3"/>
    </i>
    <i r="1">
      <x v="123"/>
      <x v="1"/>
      <x v="3"/>
    </i>
    <i r="1">
      <x v="124"/>
      <x v="18"/>
      <x v="3"/>
    </i>
    <i r="1">
      <x v="125"/>
      <x v="19"/>
      <x v="3"/>
    </i>
    <i r="1">
      <x v="126"/>
      <x v="13"/>
      <x v="1"/>
    </i>
    <i r="1">
      <x v="127"/>
      <x v="14"/>
      <x v="1"/>
    </i>
    <i r="1">
      <x v="128"/>
      <x v="3"/>
      <x v="1"/>
    </i>
    <i r="1">
      <x v="129"/>
      <x v="2"/>
      <x v="1"/>
    </i>
    <i r="1">
      <x v="130"/>
      <x v="15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52" applyNumberFormats="0" applyBorderFormats="0" applyFontFormats="0" applyPatternFormats="0" applyAlignmentFormats="0" applyWidthHeightFormats="1" dataCaption="Values" updatedVersion="7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58" applyNumberFormats="0" applyBorderFormats="0" applyFontFormats="0" applyPatternFormats="0" applyAlignmentFormats="0" applyWidthHeightFormats="1" dataCaption="Values" updatedVersion="7" minRefreshableVersion="3" showDataTips="0" useAutoFormatting="1" rowGrandTotals="0" colGrandTotals="0" itemPrintTitles="1" createdVersion="7" indent="0" compact="0" compactData="0" multipleFieldFilters="0">
  <location ref="O2:Y15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1">
        <item m="1" x="22"/>
        <item m="1" x="13"/>
        <item m="1" x="29"/>
        <item m="1" x="38"/>
        <item m="1" x="51"/>
        <item m="1" x="50"/>
        <item m="1" x="14"/>
        <item m="1" x="115"/>
        <item m="1" x="93"/>
        <item m="1" x="56"/>
        <item m="1" x="43"/>
        <item m="1" x="47"/>
        <item m="1" x="129"/>
        <item m="1" x="32"/>
        <item m="1" x="114"/>
        <item m="1" x="36"/>
        <item m="1" x="87"/>
        <item m="1" x="101"/>
        <item m="1" x="11"/>
        <item m="1" x="37"/>
        <item m="1" x="124"/>
        <item m="1" x="26"/>
        <item m="1" x="116"/>
        <item m="1" x="15"/>
        <item m="1" x="42"/>
        <item m="1" x="68"/>
        <item m="1" x="12"/>
        <item m="1" x="18"/>
        <item m="1" x="88"/>
        <item m="1" x="69"/>
        <item m="1" x="103"/>
        <item m="1" x="59"/>
        <item m="1" x="23"/>
        <item m="1" x="53"/>
        <item m="1" x="89"/>
        <item m="1" x="74"/>
        <item m="1" x="24"/>
        <item m="1" x="34"/>
        <item m="1" x="96"/>
        <item m="1" x="10"/>
        <item m="1" x="123"/>
        <item m="1" x="81"/>
        <item m="1" x="21"/>
        <item m="1" x="106"/>
        <item m="1" x="52"/>
        <item m="1" x="125"/>
        <item m="1" x="86"/>
        <item m="1" x="28"/>
        <item m="1" x="73"/>
        <item m="1" x="92"/>
        <item m="1" x="105"/>
        <item m="1" x="113"/>
        <item m="1" x="122"/>
        <item m="1" x="9"/>
        <item m="1" x="27"/>
        <item m="1" x="41"/>
        <item m="1" x="30"/>
        <item m="1" x="8"/>
        <item m="1" x="102"/>
        <item m="1" x="119"/>
        <item m="1" x="45"/>
        <item m="1" x="80"/>
        <item m="1" x="33"/>
        <item m="1" x="54"/>
        <item m="1" x="39"/>
        <item m="1" x="63"/>
        <item m="1" x="48"/>
        <item m="1" x="70"/>
        <item m="1" x="55"/>
        <item m="1" x="82"/>
        <item m="1" x="64"/>
        <item m="1" x="90"/>
        <item m="1" x="71"/>
        <item m="1" x="99"/>
        <item m="1" x="83"/>
        <item m="1" x="104"/>
        <item m="1" x="91"/>
        <item m="1" x="108"/>
        <item m="1" x="120"/>
        <item m="1" x="110"/>
        <item m="1" x="94"/>
        <item m="1" x="67"/>
        <item m="1" x="46"/>
        <item m="1" x="61"/>
        <item m="1" x="25"/>
        <item m="1" x="31"/>
        <item m="1" x="40"/>
        <item m="1" x="44"/>
        <item m="1" x="76"/>
        <item m="1" x="121"/>
        <item m="1" x="111"/>
        <item m="1" x="95"/>
        <item m="1" x="62"/>
        <item m="1" x="130"/>
        <item m="1" x="78"/>
        <item m="1" x="66"/>
        <item m="1" x="98"/>
        <item m="1" x="79"/>
        <item m="1" x="58"/>
        <item m="1" x="65"/>
        <item m="1" x="19"/>
        <item m="1" x="84"/>
        <item m="1" x="100"/>
        <item m="1" x="109"/>
        <item m="1" x="117"/>
        <item m="1" x="128"/>
        <item m="1" x="16"/>
        <item m="1" x="35"/>
        <item m="1" x="127"/>
        <item m="1" x="17"/>
        <item m="1" x="85"/>
        <item m="1" x="60"/>
        <item m="1" x="75"/>
        <item m="1" x="20"/>
        <item m="1" x="126"/>
        <item m="1" x="107"/>
        <item m="1" x="57"/>
        <item m="1" x="118"/>
        <item m="1" x="77"/>
        <item m="1" x="97"/>
        <item m="1" x="112"/>
        <item m="1" x="49"/>
        <item m="1" x="72"/>
        <item m="1" x="7"/>
        <item x="0"/>
        <item x="1"/>
        <item x="2"/>
        <item x="3"/>
        <item x="4"/>
        <item x="5"/>
        <item x="6"/>
      </items>
    </pivotField>
    <pivotField axis="axisRow" compact="0" outline="0" showAll="0" defaultSubtotal="0">
      <items count="7">
        <item x="2"/>
        <item x="3"/>
        <item x="4"/>
        <item x="1"/>
        <item x="0"/>
        <item m="1" x="6"/>
        <item m="1" x="5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3">
    <i>
      <x v="3"/>
      <x v="124"/>
      <x v="4"/>
      <x/>
    </i>
    <i r="1">
      <x v="125"/>
      <x v="3"/>
      <x v="1"/>
    </i>
    <i r="1">
      <x v="126"/>
      <x/>
      <x v="2"/>
    </i>
    <i r="2">
      <x v="1"/>
      <x v="2"/>
    </i>
    <i r="2">
      <x v="2"/>
      <x v="2"/>
    </i>
    <i r="1">
      <x v="127"/>
      <x v="3"/>
      <x v="1"/>
    </i>
    <i r="1">
      <x v="128"/>
      <x/>
      <x v="2"/>
    </i>
    <i r="2">
      <x v="1"/>
      <x v="2"/>
    </i>
    <i r="2">
      <x v="2"/>
      <x v="2"/>
    </i>
    <i r="1">
      <x v="129"/>
      <x v="3"/>
      <x v="1"/>
    </i>
    <i r="1">
      <x v="130"/>
      <x/>
      <x v="2"/>
    </i>
    <i r="2">
      <x v="1"/>
      <x v="2"/>
    </i>
    <i r="2">
      <x v="2"/>
      <x v="2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4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64" applyNumberFormats="0" applyBorderFormats="0" applyFontFormats="0" applyPatternFormats="0" applyAlignmentFormats="0" applyWidthHeightFormats="1" dataCaption="Values" updatedVersion="7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6">
    <pivotField name="Project Name" axis="axisRow" compact="0" outline="0" subtotalTop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4"/>
        <item m="1" x="5"/>
        <item m="1" x="1"/>
        <item m="1" x="2"/>
        <item m="1" x="3"/>
        <item x="0"/>
      </items>
    </pivotField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4" subtotal="max" baseField="0" baseItem="0" numFmtId="10"/>
    <dataField name="Average Restricted Percentage" fld="15" subtotal="max" baseField="0" baseItem="0" numFmtId="10"/>
  </dataFields>
  <formats count="1">
    <format dxfId="71">
      <pivotArea outline="0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8" unboundColumnsRight="6">
    <queryTableFields count="16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42" tableType="queryTable" totalsRowShown="0">
  <autoFilter ref="A1:Y42" xr:uid="{C3D003CA-1AFF-426C-A03D-D3AF5760DF1A}"/>
  <sortState xmlns:xlrd2="http://schemas.microsoft.com/office/spreadsheetml/2017/richdata2" ref="A2:Y42">
    <sortCondition ref="D1:D42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6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5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4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3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2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1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0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59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58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57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6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5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4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3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4" tableType="queryTable" totalsRowShown="0">
  <autoFilter ref="A1:U14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70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69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68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52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51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50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49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8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7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 dataDxfId="67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 dataDxfId="46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 dataDxfId="45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 dataDxfId="44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 dataDxfId="43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 dataDxfId="42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54" tableType="queryTable" totalsRowShown="0">
  <autoFilter ref="A1:P54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7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6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2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1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0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P2" tableType="queryTable" insertRow="1" totalsRowShown="0">
  <autoFilter ref="A1:P2" xr:uid="{E0343ED8-EEA5-41E8-B318-7A5C83E2F5A8}"/>
  <tableColumns count="16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FrequencyTable[[#This Row],[RestrictedPercentage]]/100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IFERROR(SUM(IF((FrequencyTable[GroupByKey]=FrequencyTable[[#This Row],[GroupByKey]]),(FrequencyTable[GroupByKey]=FrequencyTable[[#This Row],[GroupByKey]])*FrequencyTable[SummaryRestrictedPercentage]))/FrequencyTable[[#This Row],[RepsRequested]],0)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5" x14ac:dyDescent="0.25"/>
  <cols>
    <col min="1" max="1" width="16.42578125" bestFit="1" customWidth="1"/>
    <col min="2" max="2" width="81.140625" bestFit="1" customWidth="1"/>
    <col min="3" max="3" width="18.28515625" bestFit="1" customWidth="1"/>
    <col min="4" max="4" width="12.42578125" bestFit="1" customWidth="1"/>
    <col min="5" max="5" width="24" bestFit="1" customWidth="1"/>
    <col min="6" max="6" width="25.42578125" bestFit="1" customWidth="1"/>
    <col min="7" max="7" width="20.5703125" bestFit="1" customWidth="1"/>
    <col min="8" max="10" width="19.42578125" bestFit="1" customWidth="1"/>
    <col min="11" max="11" width="19.42578125" customWidth="1"/>
  </cols>
  <sheetData>
    <row r="1" spans="1:7" x14ac:dyDescent="0.2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25">
      <c r="A2" t="s">
        <v>67</v>
      </c>
      <c r="B2" t="s">
        <v>68</v>
      </c>
      <c r="C2" t="s">
        <v>69</v>
      </c>
      <c r="D2">
        <v>3</v>
      </c>
      <c r="E2">
        <v>1</v>
      </c>
      <c r="F2">
        <v>9.6893591988188597</v>
      </c>
      <c r="G2">
        <f>0.95</f>
        <v>0.95</v>
      </c>
    </row>
  </sheetData>
  <phoneticPr fontId="2" type="noConversion"/>
  <conditionalFormatting sqref="D2">
    <cfRule type="expression" dxfId="41" priority="1">
      <formula>D2=3</formula>
    </cfRule>
    <cfRule type="expression" dxfId="40" priority="2">
      <formula>D2=2</formula>
    </cfRule>
    <cfRule type="expression" dxfId="39" priority="3">
      <formula>D2=1</formula>
    </cfRule>
    <cfRule type="expression" dxfId="38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55"/>
  <sheetViews>
    <sheetView tabSelected="1" zoomScale="70" zoomScaleNormal="70" workbookViewId="0">
      <selection activeCell="P13" sqref="P13"/>
    </sheetView>
  </sheetViews>
  <sheetFormatPr defaultRowHeight="15" x14ac:dyDescent="0.25"/>
  <cols>
    <col min="1" max="1" width="33.28515625" customWidth="1"/>
    <col min="2" max="2" width="28.7109375" bestFit="1" customWidth="1"/>
    <col min="3" max="3" width="21.7109375" bestFit="1" customWidth="1"/>
    <col min="4" max="4" width="13.85546875" bestFit="1" customWidth="1"/>
    <col min="5" max="5" width="30.5703125" bestFit="1" customWidth="1"/>
    <col min="6" max="6" width="20.85546875" bestFit="1" customWidth="1"/>
    <col min="7" max="7" width="11.140625" bestFit="1" customWidth="1"/>
    <col min="8" max="8" width="28.28515625" bestFit="1" customWidth="1"/>
    <col min="9" max="9" width="28.42578125" bestFit="1" customWidth="1"/>
    <col min="10" max="10" width="28.7109375" bestFit="1" customWidth="1"/>
    <col min="11" max="11" width="17.28515625" bestFit="1" customWidth="1"/>
    <col min="12" max="12" width="17.5703125" bestFit="1" customWidth="1"/>
    <col min="13" max="13" width="31" bestFit="1" customWidth="1"/>
    <col min="14" max="14" width="27.7109375" bestFit="1" customWidth="1"/>
    <col min="15" max="15" width="18.7109375" bestFit="1" customWidth="1"/>
    <col min="16" max="16" width="25" bestFit="1" customWidth="1"/>
    <col min="17" max="17" width="26" bestFit="1" customWidth="1"/>
    <col min="18" max="18" width="13.140625" bestFit="1" customWidth="1"/>
    <col min="19" max="19" width="40.140625" bestFit="1" customWidth="1"/>
    <col min="20" max="20" width="13.85546875" bestFit="1" customWidth="1"/>
    <col min="21" max="21" width="37.42578125" bestFit="1" customWidth="1"/>
    <col min="22" max="22" width="29.7109375" bestFit="1" customWidth="1"/>
    <col min="23" max="23" width="30.28515625" bestFit="1" customWidth="1"/>
    <col min="24" max="24" width="21.7109375" bestFit="1" customWidth="1"/>
    <col min="25" max="25" width="22.42578125" bestFit="1" customWidth="1"/>
    <col min="26" max="26" width="16.28515625" bestFit="1" customWidth="1"/>
    <col min="27" max="27" width="20.7109375" bestFit="1" customWidth="1"/>
    <col min="28" max="28" width="24.7109375" bestFit="1" customWidth="1"/>
    <col min="29" max="29" width="12" bestFit="1" customWidth="1"/>
    <col min="30" max="30" width="9.28515625" bestFit="1" customWidth="1"/>
    <col min="31" max="31" width="26.28515625" bestFit="1" customWidth="1"/>
    <col min="32" max="32" width="10.85546875" bestFit="1" customWidth="1"/>
    <col min="33" max="33" width="31.140625" bestFit="1" customWidth="1"/>
    <col min="34" max="34" width="20.85546875" bestFit="1" customWidth="1"/>
    <col min="35" max="35" width="21.140625" bestFit="1" customWidth="1"/>
    <col min="36" max="36" width="19.85546875" bestFit="1" customWidth="1"/>
    <col min="37" max="37" width="32.28515625" bestFit="1" customWidth="1"/>
    <col min="38" max="38" width="24.7109375" bestFit="1" customWidth="1"/>
    <col min="39" max="39" width="12" bestFit="1" customWidth="1"/>
    <col min="40" max="40" width="9.28515625" bestFit="1" customWidth="1"/>
    <col min="41" max="41" width="26.28515625" bestFit="1" customWidth="1"/>
    <col min="42" max="42" width="10.85546875" bestFit="1" customWidth="1"/>
    <col min="43" max="43" width="31.140625" bestFit="1" customWidth="1"/>
    <col min="44" max="44" width="20.85546875" bestFit="1" customWidth="1"/>
    <col min="45" max="45" width="21.140625" bestFit="1" customWidth="1"/>
    <col min="46" max="46" width="19.85546875" bestFit="1" customWidth="1"/>
    <col min="47" max="47" width="14.85546875" bestFit="1" customWidth="1"/>
    <col min="48" max="48" width="20.7109375" bestFit="1" customWidth="1"/>
    <col min="49" max="49" width="26.28515625" bestFit="1" customWidth="1"/>
    <col min="50" max="50" width="9.28515625" bestFit="1" customWidth="1"/>
    <col min="51" max="51" width="27.5703125" bestFit="1" customWidth="1"/>
    <col min="52" max="52" width="28.7109375" bestFit="1" customWidth="1"/>
    <col min="53" max="53" width="27" bestFit="1" customWidth="1"/>
    <col min="54" max="54" width="24.85546875" bestFit="1" customWidth="1"/>
    <col min="55" max="55" width="29.28515625" bestFit="1" customWidth="1"/>
    <col min="56" max="56" width="31.85546875" bestFit="1" customWidth="1"/>
    <col min="57" max="57" width="21.7109375" bestFit="1" customWidth="1"/>
  </cols>
  <sheetData>
    <row r="1" spans="1:52" ht="18.75" x14ac:dyDescent="0.3">
      <c r="A1" s="2" t="s">
        <v>10</v>
      </c>
      <c r="O1" s="1" t="s">
        <v>12</v>
      </c>
      <c r="AA1" s="1" t="s">
        <v>18</v>
      </c>
      <c r="AK1" s="2" t="s">
        <v>13</v>
      </c>
      <c r="AU1" s="1" t="s">
        <v>11</v>
      </c>
    </row>
    <row r="2" spans="1:52" x14ac:dyDescent="0.25">
      <c r="A2" s="4" t="s">
        <v>41</v>
      </c>
      <c r="B2" s="4" t="s">
        <v>21</v>
      </c>
      <c r="C2" s="4" t="s">
        <v>23</v>
      </c>
      <c r="D2" s="4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4" t="s">
        <v>41</v>
      </c>
      <c r="P2" s="4" t="s">
        <v>21</v>
      </c>
      <c r="Q2" s="4" t="s">
        <v>23</v>
      </c>
      <c r="R2" s="4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4" t="s">
        <v>41</v>
      </c>
      <c r="AB2" s="4" t="s">
        <v>21</v>
      </c>
      <c r="AC2" s="4" t="s">
        <v>23</v>
      </c>
      <c r="AD2" s="4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4" t="s">
        <v>41</v>
      </c>
      <c r="AL2" s="4" t="s">
        <v>21</v>
      </c>
      <c r="AM2" s="4" t="s">
        <v>23</v>
      </c>
      <c r="AN2" s="4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4" t="s">
        <v>41</v>
      </c>
      <c r="AV2" s="4" t="s">
        <v>21</v>
      </c>
      <c r="AW2" s="4" t="s">
        <v>57</v>
      </c>
      <c r="AX2" s="4" t="s">
        <v>22</v>
      </c>
      <c r="AY2" t="s">
        <v>58</v>
      </c>
      <c r="AZ2" t="s">
        <v>59</v>
      </c>
    </row>
    <row r="3" spans="1:52" x14ac:dyDescent="0.25">
      <c r="A3" t="s">
        <v>67</v>
      </c>
      <c r="B3" t="s">
        <v>70</v>
      </c>
      <c r="C3" t="s">
        <v>71</v>
      </c>
      <c r="D3" t="s">
        <v>72</v>
      </c>
      <c r="E3" s="3">
        <v>4.1783651013620604</v>
      </c>
      <c r="F3" s="3">
        <v>1</v>
      </c>
      <c r="G3" s="3">
        <v>2E+20</v>
      </c>
      <c r="H3" s="3">
        <v>0</v>
      </c>
      <c r="I3" s="3">
        <v>4.1783651013620604</v>
      </c>
      <c r="J3" s="3">
        <v>4.1783651013620604</v>
      </c>
      <c r="K3" s="3">
        <v>0.16053247526962899</v>
      </c>
      <c r="L3" s="3">
        <v>8.1342765533160808</v>
      </c>
      <c r="M3" s="3">
        <v>174</v>
      </c>
      <c r="O3" t="s">
        <v>67</v>
      </c>
      <c r="P3" t="s">
        <v>73</v>
      </c>
      <c r="Q3" t="s">
        <v>108</v>
      </c>
      <c r="R3" t="s">
        <v>75</v>
      </c>
      <c r="S3" s="3">
        <v>75.034428254618106</v>
      </c>
      <c r="T3" s="3">
        <v>3E+20</v>
      </c>
      <c r="U3" s="3">
        <v>0</v>
      </c>
      <c r="V3" s="3">
        <v>75.034428254618106</v>
      </c>
      <c r="W3" s="3">
        <v>75.034428254618106</v>
      </c>
      <c r="X3" s="3">
        <v>0</v>
      </c>
      <c r="Y3" s="3">
        <v>148</v>
      </c>
      <c r="AA3" t="s">
        <v>65</v>
      </c>
      <c r="AB3" t="s">
        <v>65</v>
      </c>
      <c r="AC3" t="s">
        <v>65</v>
      </c>
      <c r="AD3" t="s">
        <v>65</v>
      </c>
      <c r="AE3" s="3"/>
      <c r="AF3" s="3"/>
      <c r="AG3" s="3"/>
      <c r="AH3" s="3"/>
      <c r="AI3" s="3"/>
      <c r="AK3" t="s">
        <v>67</v>
      </c>
      <c r="AL3" t="s">
        <v>170</v>
      </c>
      <c r="AM3" t="s">
        <v>135</v>
      </c>
      <c r="AN3" t="s">
        <v>118</v>
      </c>
      <c r="AO3" s="3">
        <v>174</v>
      </c>
      <c r="AP3" s="3">
        <v>4E+20</v>
      </c>
      <c r="AQ3" s="3">
        <v>0</v>
      </c>
      <c r="AR3" s="3">
        <v>174</v>
      </c>
      <c r="AS3" s="3">
        <v>174</v>
      </c>
      <c r="AU3" t="s">
        <v>65</v>
      </c>
      <c r="AV3" t="s">
        <v>65</v>
      </c>
      <c r="AW3" t="s">
        <v>65</v>
      </c>
      <c r="AX3" t="s">
        <v>65</v>
      </c>
      <c r="AY3" s="6"/>
      <c r="AZ3" s="6"/>
    </row>
    <row r="4" spans="1:52" x14ac:dyDescent="0.25">
      <c r="B4" t="s">
        <v>73</v>
      </c>
      <c r="C4" t="s">
        <v>76</v>
      </c>
      <c r="D4" t="s">
        <v>75</v>
      </c>
      <c r="E4" s="3">
        <v>0</v>
      </c>
      <c r="F4" s="3">
        <v>1</v>
      </c>
      <c r="G4" s="3">
        <v>2E+20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174</v>
      </c>
      <c r="P4" t="s">
        <v>95</v>
      </c>
      <c r="Q4" t="s">
        <v>109</v>
      </c>
      <c r="R4" t="s">
        <v>97</v>
      </c>
      <c r="S4" s="3">
        <v>71.5729140069148</v>
      </c>
      <c r="T4" s="3">
        <v>3E+20</v>
      </c>
      <c r="U4" s="3">
        <v>0</v>
      </c>
      <c r="V4" s="3">
        <v>71.5729140069148</v>
      </c>
      <c r="W4" s="3">
        <v>71.5729140069148</v>
      </c>
      <c r="X4" s="3">
        <v>0</v>
      </c>
      <c r="Y4" s="3">
        <v>144</v>
      </c>
      <c r="AL4" t="s">
        <v>117</v>
      </c>
      <c r="AM4" t="s">
        <v>74</v>
      </c>
      <c r="AN4" t="s">
        <v>118</v>
      </c>
      <c r="AO4" s="3">
        <v>0</v>
      </c>
      <c r="AP4" s="3">
        <v>4E+20</v>
      </c>
      <c r="AQ4" s="3">
        <v>0</v>
      </c>
      <c r="AR4" s="3">
        <v>0</v>
      </c>
      <c r="AS4" s="3">
        <v>0</v>
      </c>
    </row>
    <row r="5" spans="1:52" x14ac:dyDescent="0.25">
      <c r="C5" t="s">
        <v>78</v>
      </c>
      <c r="D5" t="s">
        <v>75</v>
      </c>
      <c r="E5" s="3">
        <v>0</v>
      </c>
      <c r="F5" s="3">
        <v>1</v>
      </c>
      <c r="G5" s="3">
        <v>2E+20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174</v>
      </c>
      <c r="P5" t="s">
        <v>110</v>
      </c>
      <c r="Q5" t="s">
        <v>111</v>
      </c>
      <c r="R5" t="s">
        <v>112</v>
      </c>
      <c r="S5" s="3">
        <v>0.98699162328154499</v>
      </c>
      <c r="T5" s="3">
        <v>2E+20</v>
      </c>
      <c r="U5" s="3">
        <v>0</v>
      </c>
      <c r="V5" s="3">
        <v>0.98699162328154499</v>
      </c>
      <c r="W5" s="3">
        <v>0.98699162328154499</v>
      </c>
      <c r="X5" s="3">
        <v>0</v>
      </c>
      <c r="Y5" s="3">
        <v>1</v>
      </c>
      <c r="AL5" t="s">
        <v>119</v>
      </c>
      <c r="AM5" t="s">
        <v>77</v>
      </c>
      <c r="AN5" t="s">
        <v>118</v>
      </c>
      <c r="AO5" s="3">
        <v>0</v>
      </c>
      <c r="AP5" s="3">
        <v>4E+20</v>
      </c>
      <c r="AQ5" s="3">
        <v>0</v>
      </c>
      <c r="AR5" s="3">
        <v>0</v>
      </c>
      <c r="AS5" s="3">
        <v>0</v>
      </c>
    </row>
    <row r="6" spans="1:52" x14ac:dyDescent="0.25">
      <c r="C6" t="s">
        <v>80</v>
      </c>
      <c r="D6" t="s">
        <v>75</v>
      </c>
      <c r="E6" s="3">
        <v>4.1783651013620604</v>
      </c>
      <c r="F6" s="3">
        <v>1</v>
      </c>
      <c r="G6" s="3">
        <v>2E+20</v>
      </c>
      <c r="H6" s="3">
        <v>0</v>
      </c>
      <c r="I6" s="3">
        <v>4.1783651013620604</v>
      </c>
      <c r="J6" s="3">
        <v>4.1783651013620604</v>
      </c>
      <c r="K6" s="3">
        <v>0.16053247526962899</v>
      </c>
      <c r="L6" s="3">
        <v>8.1342765533160808</v>
      </c>
      <c r="M6" s="3">
        <v>174</v>
      </c>
      <c r="Q6" t="s">
        <v>113</v>
      </c>
      <c r="R6" t="s">
        <v>112</v>
      </c>
      <c r="S6" s="3">
        <v>0.98699162328154499</v>
      </c>
      <c r="T6" s="3">
        <v>2E+20</v>
      </c>
      <c r="U6" s="3">
        <v>0</v>
      </c>
      <c r="V6" s="3">
        <v>0.98699162328154499</v>
      </c>
      <c r="W6" s="3">
        <v>0.98699162328154499</v>
      </c>
      <c r="X6" s="3">
        <v>0</v>
      </c>
      <c r="Y6" s="3">
        <v>1</v>
      </c>
      <c r="AL6" t="s">
        <v>120</v>
      </c>
      <c r="AM6" t="s">
        <v>79</v>
      </c>
      <c r="AN6" t="s">
        <v>118</v>
      </c>
      <c r="AO6" s="3">
        <v>0</v>
      </c>
      <c r="AP6" s="3">
        <v>4E+20</v>
      </c>
      <c r="AQ6" s="3">
        <v>0</v>
      </c>
      <c r="AR6" s="3">
        <v>0</v>
      </c>
      <c r="AS6" s="3">
        <v>0</v>
      </c>
    </row>
    <row r="7" spans="1:52" x14ac:dyDescent="0.25">
      <c r="C7" t="s">
        <v>82</v>
      </c>
      <c r="D7" t="s">
        <v>75</v>
      </c>
      <c r="E7" s="3">
        <v>0</v>
      </c>
      <c r="F7" s="3">
        <v>1</v>
      </c>
      <c r="G7" s="3">
        <v>2E+20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174</v>
      </c>
      <c r="Q7" t="s">
        <v>114</v>
      </c>
      <c r="R7" t="s">
        <v>112</v>
      </c>
      <c r="S7" s="3">
        <v>1</v>
      </c>
      <c r="T7" s="3">
        <v>2E+20</v>
      </c>
      <c r="U7" s="3">
        <v>0</v>
      </c>
      <c r="V7" s="3">
        <v>1</v>
      </c>
      <c r="W7" s="3">
        <v>1</v>
      </c>
      <c r="X7" s="3">
        <v>1</v>
      </c>
      <c r="Y7" s="3">
        <v>1</v>
      </c>
      <c r="AL7" t="s">
        <v>121</v>
      </c>
      <c r="AM7" t="s">
        <v>122</v>
      </c>
      <c r="AN7" t="s">
        <v>118</v>
      </c>
      <c r="AO7" s="3">
        <v>0</v>
      </c>
      <c r="AP7" s="3">
        <v>4E+20</v>
      </c>
      <c r="AQ7" s="3">
        <v>0</v>
      </c>
      <c r="AR7" s="3">
        <v>0</v>
      </c>
      <c r="AS7" s="3">
        <v>0</v>
      </c>
    </row>
    <row r="8" spans="1:52" x14ac:dyDescent="0.25">
      <c r="C8" t="s">
        <v>84</v>
      </c>
      <c r="D8" t="s">
        <v>75</v>
      </c>
      <c r="E8" s="3">
        <v>0.153330622201063</v>
      </c>
      <c r="F8" s="3">
        <v>1</v>
      </c>
      <c r="G8" s="3">
        <v>2E+20</v>
      </c>
      <c r="H8" s="3">
        <v>0</v>
      </c>
      <c r="I8" s="3">
        <v>0.153330622201063</v>
      </c>
      <c r="J8" s="3">
        <v>0.153330622201063</v>
      </c>
      <c r="K8" s="3">
        <v>9.7454943679666797E-2</v>
      </c>
      <c r="L8" s="3">
        <v>0.20887623858259199</v>
      </c>
      <c r="M8" s="3">
        <v>174</v>
      </c>
      <c r="P8" t="s">
        <v>103</v>
      </c>
      <c r="Q8" t="s">
        <v>109</v>
      </c>
      <c r="R8" t="s">
        <v>97</v>
      </c>
      <c r="S8" s="3">
        <v>0.40467350210042102</v>
      </c>
      <c r="T8" s="3">
        <v>2E+20</v>
      </c>
      <c r="U8" s="3">
        <v>0</v>
      </c>
      <c r="V8" s="3">
        <v>0.40467350210042102</v>
      </c>
      <c r="W8" s="3">
        <v>0.40467350210042102</v>
      </c>
      <c r="X8" s="3">
        <v>0</v>
      </c>
      <c r="Y8" s="3">
        <v>3</v>
      </c>
      <c r="AL8" t="s">
        <v>123</v>
      </c>
      <c r="AM8" t="s">
        <v>83</v>
      </c>
      <c r="AN8" t="s">
        <v>118</v>
      </c>
      <c r="AO8" s="3">
        <v>0</v>
      </c>
      <c r="AP8" s="3">
        <v>4E+20</v>
      </c>
      <c r="AQ8" s="3">
        <v>0</v>
      </c>
      <c r="AR8" s="3">
        <v>0</v>
      </c>
      <c r="AS8" s="3">
        <v>0</v>
      </c>
    </row>
    <row r="9" spans="1:52" x14ac:dyDescent="0.25">
      <c r="C9" t="s">
        <v>86</v>
      </c>
      <c r="D9" t="s">
        <v>75</v>
      </c>
      <c r="E9" s="3">
        <v>4.0250344791610004</v>
      </c>
      <c r="F9" s="3">
        <v>1</v>
      </c>
      <c r="G9" s="3">
        <v>2E+20</v>
      </c>
      <c r="H9" s="3">
        <v>0</v>
      </c>
      <c r="I9" s="3">
        <v>4.0250344791610004</v>
      </c>
      <c r="J9" s="3">
        <v>4.0250344791610004</v>
      </c>
      <c r="K9" s="3">
        <v>0</v>
      </c>
      <c r="L9" s="3">
        <v>8.0026910951656092</v>
      </c>
      <c r="M9" s="3">
        <v>174</v>
      </c>
      <c r="P9" t="s">
        <v>115</v>
      </c>
      <c r="Q9" t="s">
        <v>111</v>
      </c>
      <c r="R9" t="s">
        <v>112</v>
      </c>
      <c r="S9" s="3">
        <v>0.86860356047184695</v>
      </c>
      <c r="T9" s="3">
        <v>2E+20</v>
      </c>
      <c r="U9" s="3">
        <v>0</v>
      </c>
      <c r="V9" s="3">
        <v>0.86860356047184695</v>
      </c>
      <c r="W9" s="3">
        <v>0.86860356047184695</v>
      </c>
      <c r="X9" s="3">
        <v>0</v>
      </c>
      <c r="Y9" s="3">
        <v>1</v>
      </c>
      <c r="AL9" t="s">
        <v>124</v>
      </c>
      <c r="AM9" t="s">
        <v>85</v>
      </c>
      <c r="AN9" t="s">
        <v>118</v>
      </c>
      <c r="AO9" s="3">
        <v>0</v>
      </c>
      <c r="AP9" s="3">
        <v>4E+20</v>
      </c>
      <c r="AQ9" s="3">
        <v>0</v>
      </c>
      <c r="AR9" s="3">
        <v>0</v>
      </c>
      <c r="AS9" s="3">
        <v>0</v>
      </c>
    </row>
    <row r="10" spans="1:52" x14ac:dyDescent="0.25">
      <c r="C10" t="s">
        <v>74</v>
      </c>
      <c r="D10" t="s">
        <v>75</v>
      </c>
      <c r="E10" s="3">
        <v>0</v>
      </c>
      <c r="F10" s="3">
        <v>1</v>
      </c>
      <c r="G10" s="3">
        <v>2E+20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174</v>
      </c>
      <c r="Q10" t="s">
        <v>113</v>
      </c>
      <c r="R10" t="s">
        <v>112</v>
      </c>
      <c r="S10" s="3">
        <v>0.86860356047184695</v>
      </c>
      <c r="T10" s="3">
        <v>2E+20</v>
      </c>
      <c r="U10" s="3">
        <v>0</v>
      </c>
      <c r="V10" s="3">
        <v>0.86860356047184695</v>
      </c>
      <c r="W10" s="3">
        <v>0.86860356047184695</v>
      </c>
      <c r="X10" s="3">
        <v>0</v>
      </c>
      <c r="Y10" s="3">
        <v>1</v>
      </c>
      <c r="AL10" t="s">
        <v>125</v>
      </c>
      <c r="AM10" t="s">
        <v>126</v>
      </c>
      <c r="AN10" t="s">
        <v>118</v>
      </c>
      <c r="AO10" s="3">
        <v>0</v>
      </c>
      <c r="AP10" s="3">
        <v>4E+20</v>
      </c>
      <c r="AQ10" s="3">
        <v>0</v>
      </c>
      <c r="AR10" s="3">
        <v>0</v>
      </c>
      <c r="AS10" s="3">
        <v>0</v>
      </c>
    </row>
    <row r="11" spans="1:52" x14ac:dyDescent="0.25">
      <c r="C11" t="s">
        <v>77</v>
      </c>
      <c r="D11" t="s">
        <v>75</v>
      </c>
      <c r="E11" s="3">
        <v>0</v>
      </c>
      <c r="F11" s="3">
        <v>1</v>
      </c>
      <c r="G11" s="3">
        <v>2E+20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174</v>
      </c>
      <c r="Q11" t="s">
        <v>114</v>
      </c>
      <c r="R11" t="s">
        <v>112</v>
      </c>
      <c r="S11" s="3">
        <v>1</v>
      </c>
      <c r="T11" s="3">
        <v>2E+20</v>
      </c>
      <c r="U11" s="3">
        <v>0</v>
      </c>
      <c r="V11" s="3">
        <v>1</v>
      </c>
      <c r="W11" s="3">
        <v>1</v>
      </c>
      <c r="X11" s="3">
        <v>1</v>
      </c>
      <c r="Y11" s="3">
        <v>1</v>
      </c>
      <c r="AL11" t="s">
        <v>127</v>
      </c>
      <c r="AM11" t="s">
        <v>128</v>
      </c>
      <c r="AN11" t="s">
        <v>118</v>
      </c>
      <c r="AO11" s="3">
        <v>0</v>
      </c>
      <c r="AP11" s="3">
        <v>4E+20</v>
      </c>
      <c r="AQ11" s="3">
        <v>0</v>
      </c>
      <c r="AR11" s="3">
        <v>0</v>
      </c>
      <c r="AS11" s="3">
        <v>0</v>
      </c>
    </row>
    <row r="12" spans="1:52" x14ac:dyDescent="0.25">
      <c r="C12" t="s">
        <v>79</v>
      </c>
      <c r="D12" t="s">
        <v>75</v>
      </c>
      <c r="E12" s="3">
        <v>0</v>
      </c>
      <c r="F12" s="3">
        <v>1</v>
      </c>
      <c r="G12" s="3">
        <v>2E+20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174</v>
      </c>
      <c r="P12" t="s">
        <v>105</v>
      </c>
      <c r="Q12" t="s">
        <v>109</v>
      </c>
      <c r="R12" t="s">
        <v>97</v>
      </c>
      <c r="S12" s="3">
        <v>0.303353366763984</v>
      </c>
      <c r="T12" s="3">
        <v>2E+20</v>
      </c>
      <c r="U12" s="3">
        <v>0</v>
      </c>
      <c r="V12" s="3">
        <v>0.303353366763984</v>
      </c>
      <c r="W12" s="3">
        <v>0.303353366763984</v>
      </c>
      <c r="X12" s="3">
        <v>0</v>
      </c>
      <c r="Y12" s="3">
        <v>3</v>
      </c>
      <c r="AL12" t="s">
        <v>129</v>
      </c>
      <c r="AM12" t="s">
        <v>79</v>
      </c>
      <c r="AN12" t="s">
        <v>118</v>
      </c>
      <c r="AO12" s="3">
        <v>0</v>
      </c>
      <c r="AP12" s="3">
        <v>4E+20</v>
      </c>
      <c r="AQ12" s="3">
        <v>0</v>
      </c>
      <c r="AR12" s="3">
        <v>0</v>
      </c>
      <c r="AS12" s="3">
        <v>0</v>
      </c>
    </row>
    <row r="13" spans="1:52" x14ac:dyDescent="0.25">
      <c r="C13" t="s">
        <v>81</v>
      </c>
      <c r="D13" t="s">
        <v>75</v>
      </c>
      <c r="E13" s="3">
        <v>0</v>
      </c>
      <c r="F13" s="3">
        <v>1</v>
      </c>
      <c r="G13" s="3">
        <v>2E+20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174</v>
      </c>
      <c r="P13" t="s">
        <v>116</v>
      </c>
      <c r="Q13" t="s">
        <v>111</v>
      </c>
      <c r="R13" t="s">
        <v>112</v>
      </c>
      <c r="S13" s="3">
        <v>0.89789219508556795</v>
      </c>
      <c r="T13" s="3">
        <v>2E+20</v>
      </c>
      <c r="U13" s="3">
        <v>0</v>
      </c>
      <c r="V13" s="3">
        <v>0.89789219508556795</v>
      </c>
      <c r="W13" s="3">
        <v>0.89789219508556795</v>
      </c>
      <c r="X13" s="3">
        <v>0</v>
      </c>
      <c r="Y13" s="3">
        <v>1</v>
      </c>
      <c r="AL13" t="s">
        <v>130</v>
      </c>
      <c r="AM13" t="s">
        <v>131</v>
      </c>
      <c r="AN13" t="s">
        <v>118</v>
      </c>
      <c r="AO13" s="3">
        <v>0</v>
      </c>
      <c r="AP13" s="3">
        <v>4E+20</v>
      </c>
      <c r="AQ13" s="3">
        <v>0</v>
      </c>
      <c r="AR13" s="3">
        <v>0</v>
      </c>
      <c r="AS13" s="3">
        <v>0</v>
      </c>
    </row>
    <row r="14" spans="1:52" x14ac:dyDescent="0.25">
      <c r="C14" t="s">
        <v>83</v>
      </c>
      <c r="D14" t="s">
        <v>75</v>
      </c>
      <c r="E14" s="3">
        <v>0</v>
      </c>
      <c r="F14" s="3">
        <v>1</v>
      </c>
      <c r="G14" s="3">
        <v>2E+20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174</v>
      </c>
      <c r="Q14" t="s">
        <v>113</v>
      </c>
      <c r="R14" t="s">
        <v>112</v>
      </c>
      <c r="S14" s="3">
        <v>0.89789219508556795</v>
      </c>
      <c r="T14" s="3">
        <v>2E+20</v>
      </c>
      <c r="U14" s="3">
        <v>0</v>
      </c>
      <c r="V14" s="3">
        <v>0.89789219508556795</v>
      </c>
      <c r="W14" s="3">
        <v>0.89789219508556795</v>
      </c>
      <c r="X14" s="3">
        <v>0</v>
      </c>
      <c r="Y14" s="3">
        <v>1</v>
      </c>
      <c r="AL14" t="s">
        <v>132</v>
      </c>
      <c r="AM14" t="s">
        <v>133</v>
      </c>
      <c r="AN14" t="s">
        <v>75</v>
      </c>
      <c r="AO14" s="3">
        <v>174</v>
      </c>
      <c r="AP14" s="3">
        <v>4E+20</v>
      </c>
      <c r="AQ14" s="3">
        <v>0</v>
      </c>
      <c r="AR14" s="3">
        <v>174</v>
      </c>
      <c r="AS14" s="3">
        <v>174</v>
      </c>
    </row>
    <row r="15" spans="1:52" x14ac:dyDescent="0.25">
      <c r="C15" t="s">
        <v>85</v>
      </c>
      <c r="D15" t="s">
        <v>75</v>
      </c>
      <c r="E15" s="3">
        <v>0</v>
      </c>
      <c r="F15" s="3">
        <v>1</v>
      </c>
      <c r="G15" s="3">
        <v>2E+20</v>
      </c>
      <c r="H15" s="3">
        <v>0</v>
      </c>
      <c r="I15" s="3">
        <v>0</v>
      </c>
      <c r="J15" s="3">
        <v>0</v>
      </c>
      <c r="K15" s="3">
        <v>0</v>
      </c>
      <c r="L15" s="3">
        <v>0</v>
      </c>
      <c r="M15" s="3">
        <v>174</v>
      </c>
      <c r="Q15" t="s">
        <v>114</v>
      </c>
      <c r="R15" t="s">
        <v>112</v>
      </c>
      <c r="S15" s="3">
        <v>1</v>
      </c>
      <c r="T15" s="3">
        <v>2E+20</v>
      </c>
      <c r="U15" s="3">
        <v>0</v>
      </c>
      <c r="V15" s="3">
        <v>1</v>
      </c>
      <c r="W15" s="3">
        <v>1</v>
      </c>
      <c r="X15" s="3">
        <v>1</v>
      </c>
      <c r="Y15" s="3">
        <v>1</v>
      </c>
      <c r="AL15" t="s">
        <v>134</v>
      </c>
      <c r="AM15" t="s">
        <v>135</v>
      </c>
      <c r="AN15" t="s">
        <v>75</v>
      </c>
      <c r="AO15" s="3">
        <v>174</v>
      </c>
      <c r="AP15" s="3">
        <v>4E+20</v>
      </c>
      <c r="AQ15" s="3">
        <v>0</v>
      </c>
      <c r="AR15" s="3">
        <v>174</v>
      </c>
      <c r="AS15" s="3">
        <v>174</v>
      </c>
    </row>
    <row r="16" spans="1:52" x14ac:dyDescent="0.25">
      <c r="B16" t="s">
        <v>87</v>
      </c>
      <c r="C16" t="s">
        <v>90</v>
      </c>
      <c r="D16" t="s">
        <v>89</v>
      </c>
      <c r="E16" s="3">
        <v>4.0405689027779896</v>
      </c>
      <c r="F16" s="3">
        <v>1</v>
      </c>
      <c r="G16" s="3">
        <v>2E+20</v>
      </c>
      <c r="H16" s="3">
        <v>0</v>
      </c>
      <c r="I16" s="3">
        <v>4.0405689027779896</v>
      </c>
      <c r="J16" s="3">
        <v>4.0405689027779896</v>
      </c>
      <c r="K16" s="3">
        <v>4.5960180338552301E-2</v>
      </c>
      <c r="L16" s="3">
        <v>8.0082337186974097</v>
      </c>
      <c r="M16" s="3">
        <v>174</v>
      </c>
      <c r="AL16" t="s">
        <v>136</v>
      </c>
      <c r="AM16" t="s">
        <v>137</v>
      </c>
      <c r="AN16" t="s">
        <v>89</v>
      </c>
      <c r="AO16" s="3">
        <v>0</v>
      </c>
      <c r="AP16" s="3">
        <v>4E+20</v>
      </c>
      <c r="AQ16" s="3">
        <v>0</v>
      </c>
      <c r="AR16" s="3">
        <v>0</v>
      </c>
      <c r="AS16" s="3">
        <v>0</v>
      </c>
    </row>
    <row r="17" spans="2:45" x14ac:dyDescent="0.25">
      <c r="C17" t="s">
        <v>92</v>
      </c>
      <c r="D17" t="s">
        <v>89</v>
      </c>
      <c r="E17" s="3">
        <v>5.4961588300001099E-2</v>
      </c>
      <c r="F17" s="3">
        <v>1</v>
      </c>
      <c r="G17" s="3">
        <v>2E+20</v>
      </c>
      <c r="H17" s="3">
        <v>0</v>
      </c>
      <c r="I17" s="3">
        <v>5.4961588300001099E-2</v>
      </c>
      <c r="J17" s="3">
        <v>5.4961588300001099E-2</v>
      </c>
      <c r="K17" s="3">
        <v>2.5180612208651101E-2</v>
      </c>
      <c r="L17" s="3">
        <v>8.3179379200521805E-2</v>
      </c>
      <c r="M17" s="3">
        <v>174</v>
      </c>
      <c r="AL17" t="s">
        <v>138</v>
      </c>
      <c r="AM17" t="s">
        <v>139</v>
      </c>
      <c r="AN17" t="s">
        <v>89</v>
      </c>
      <c r="AO17" s="3">
        <v>9.5633163642001993</v>
      </c>
      <c r="AP17" s="3">
        <v>4E+20</v>
      </c>
      <c r="AQ17" s="3">
        <v>0</v>
      </c>
      <c r="AR17" s="3">
        <v>9.5633163642001993</v>
      </c>
      <c r="AS17" s="3">
        <v>9.5633163642001993</v>
      </c>
    </row>
    <row r="18" spans="2:45" x14ac:dyDescent="0.25">
      <c r="C18" t="s">
        <v>94</v>
      </c>
      <c r="D18" t="s">
        <v>89</v>
      </c>
      <c r="E18" s="3">
        <v>3.9856073144779902</v>
      </c>
      <c r="F18" s="3">
        <v>1</v>
      </c>
      <c r="G18" s="3">
        <v>2E+20</v>
      </c>
      <c r="H18" s="3">
        <v>0</v>
      </c>
      <c r="I18" s="3">
        <v>3.9856073144779902</v>
      </c>
      <c r="J18" s="3">
        <v>3.9856073144779902</v>
      </c>
      <c r="K18" s="3">
        <v>0</v>
      </c>
      <c r="L18" s="3">
        <v>7.9513431978737303</v>
      </c>
      <c r="M18" s="3">
        <v>174</v>
      </c>
      <c r="AL18" t="s">
        <v>140</v>
      </c>
      <c r="AM18" t="s">
        <v>141</v>
      </c>
      <c r="AN18" t="s">
        <v>89</v>
      </c>
      <c r="AO18" s="3">
        <v>0</v>
      </c>
      <c r="AP18" s="3">
        <v>4E+20</v>
      </c>
      <c r="AQ18" s="3">
        <v>0</v>
      </c>
      <c r="AR18" s="3">
        <v>0</v>
      </c>
      <c r="AS18" s="3">
        <v>0</v>
      </c>
    </row>
    <row r="19" spans="2:45" x14ac:dyDescent="0.25">
      <c r="C19" t="s">
        <v>88</v>
      </c>
      <c r="D19" t="s">
        <v>89</v>
      </c>
      <c r="E19" s="3">
        <v>0</v>
      </c>
      <c r="F19" s="3">
        <v>1</v>
      </c>
      <c r="G19" s="3">
        <v>2E+20</v>
      </c>
      <c r="H19" s="3">
        <v>0</v>
      </c>
      <c r="I19" s="3">
        <v>0</v>
      </c>
      <c r="J19" s="3">
        <v>0</v>
      </c>
      <c r="K19" s="3">
        <v>0</v>
      </c>
      <c r="L19" s="3">
        <v>0</v>
      </c>
      <c r="M19" s="3">
        <v>174</v>
      </c>
      <c r="AL19" t="s">
        <v>142</v>
      </c>
      <c r="AM19" t="s">
        <v>143</v>
      </c>
      <c r="AN19" t="s">
        <v>89</v>
      </c>
      <c r="AO19" s="3">
        <v>693.49567271917101</v>
      </c>
      <c r="AP19" s="3">
        <v>4E+20</v>
      </c>
      <c r="AQ19" s="3">
        <v>0</v>
      </c>
      <c r="AR19" s="3">
        <v>693.49567271917101</v>
      </c>
      <c r="AS19" s="3">
        <v>693.49567271917101</v>
      </c>
    </row>
    <row r="20" spans="2:45" x14ac:dyDescent="0.25">
      <c r="C20" t="s">
        <v>91</v>
      </c>
      <c r="D20" t="s">
        <v>89</v>
      </c>
      <c r="E20" s="3">
        <v>0</v>
      </c>
      <c r="F20" s="3">
        <v>1</v>
      </c>
      <c r="G20" s="3">
        <v>2E+20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174</v>
      </c>
      <c r="AL20" t="s">
        <v>144</v>
      </c>
      <c r="AM20" t="s">
        <v>133</v>
      </c>
      <c r="AN20" t="s">
        <v>89</v>
      </c>
      <c r="AO20" s="3">
        <v>174</v>
      </c>
      <c r="AP20" s="3">
        <v>4E+20</v>
      </c>
      <c r="AQ20" s="3">
        <v>0</v>
      </c>
      <c r="AR20" s="3">
        <v>174</v>
      </c>
      <c r="AS20" s="3">
        <v>174</v>
      </c>
    </row>
    <row r="21" spans="2:45" x14ac:dyDescent="0.25">
      <c r="C21" t="s">
        <v>93</v>
      </c>
      <c r="D21" t="s">
        <v>89</v>
      </c>
      <c r="E21" s="3">
        <v>0</v>
      </c>
      <c r="F21" s="3">
        <v>1</v>
      </c>
      <c r="G21" s="3">
        <v>2E+20</v>
      </c>
      <c r="H21" s="3">
        <v>0</v>
      </c>
      <c r="I21" s="3">
        <v>0</v>
      </c>
      <c r="J21" s="3">
        <v>0</v>
      </c>
      <c r="K21" s="3">
        <v>0</v>
      </c>
      <c r="L21" s="3">
        <v>0</v>
      </c>
      <c r="M21" s="3">
        <v>174</v>
      </c>
      <c r="AL21" t="s">
        <v>145</v>
      </c>
      <c r="AM21" t="s">
        <v>135</v>
      </c>
      <c r="AN21" t="s">
        <v>89</v>
      </c>
      <c r="AO21" s="3">
        <v>174</v>
      </c>
      <c r="AP21" s="3">
        <v>4E+20</v>
      </c>
      <c r="AQ21" s="3">
        <v>0</v>
      </c>
      <c r="AR21" s="3">
        <v>174</v>
      </c>
      <c r="AS21" s="3">
        <v>174</v>
      </c>
    </row>
    <row r="22" spans="2:45" x14ac:dyDescent="0.25">
      <c r="B22" t="s">
        <v>95</v>
      </c>
      <c r="C22" t="s">
        <v>98</v>
      </c>
      <c r="D22" t="s">
        <v>97</v>
      </c>
      <c r="E22" s="3">
        <v>3.9856073144779902</v>
      </c>
      <c r="F22" s="3">
        <v>1</v>
      </c>
      <c r="G22" s="3">
        <v>2E+20</v>
      </c>
      <c r="H22" s="3">
        <v>0</v>
      </c>
      <c r="I22" s="3">
        <v>3.9856073144779902</v>
      </c>
      <c r="J22" s="3">
        <v>3.9856073144779902</v>
      </c>
      <c r="K22" s="3">
        <v>0</v>
      </c>
      <c r="L22" s="3">
        <v>7.9513431978737303</v>
      </c>
      <c r="M22" s="3">
        <v>174</v>
      </c>
      <c r="AL22" t="s">
        <v>146</v>
      </c>
      <c r="AM22" t="s">
        <v>147</v>
      </c>
      <c r="AN22" t="s">
        <v>89</v>
      </c>
      <c r="AO22" s="3">
        <v>0</v>
      </c>
      <c r="AP22" s="3">
        <v>4E+20</v>
      </c>
      <c r="AQ22" s="3">
        <v>0</v>
      </c>
      <c r="AR22" s="3">
        <v>0</v>
      </c>
      <c r="AS22" s="3">
        <v>0</v>
      </c>
    </row>
    <row r="23" spans="2:45" x14ac:dyDescent="0.25">
      <c r="C23" t="s">
        <v>96</v>
      </c>
      <c r="D23" t="s">
        <v>97</v>
      </c>
      <c r="E23" s="3">
        <v>0</v>
      </c>
      <c r="F23" s="3">
        <v>1</v>
      </c>
      <c r="G23" s="3">
        <v>2E+20</v>
      </c>
      <c r="H23" s="3">
        <v>0</v>
      </c>
      <c r="I23" s="3">
        <v>0</v>
      </c>
      <c r="J23" s="3">
        <v>0</v>
      </c>
      <c r="K23" s="3">
        <v>0</v>
      </c>
      <c r="L23" s="3">
        <v>0</v>
      </c>
      <c r="M23" s="3">
        <v>174</v>
      </c>
      <c r="AL23" t="s">
        <v>148</v>
      </c>
      <c r="AM23" t="s">
        <v>149</v>
      </c>
      <c r="AN23" t="s">
        <v>89</v>
      </c>
      <c r="AO23" s="3">
        <v>703.05898908337099</v>
      </c>
      <c r="AP23" s="3">
        <v>4E+20</v>
      </c>
      <c r="AQ23" s="3">
        <v>0</v>
      </c>
      <c r="AR23" s="3">
        <v>703.05898908337099</v>
      </c>
      <c r="AS23" s="3">
        <v>703.05898908337099</v>
      </c>
    </row>
    <row r="24" spans="2:45" x14ac:dyDescent="0.25">
      <c r="B24" t="s">
        <v>99</v>
      </c>
      <c r="C24" t="s">
        <v>100</v>
      </c>
      <c r="D24" t="s">
        <v>72</v>
      </c>
      <c r="E24" s="3">
        <v>1</v>
      </c>
      <c r="F24" s="3">
        <v>1</v>
      </c>
      <c r="G24" s="3">
        <v>2E+20</v>
      </c>
      <c r="H24" s="3">
        <v>0</v>
      </c>
      <c r="I24" s="3">
        <v>1</v>
      </c>
      <c r="J24" s="3">
        <v>1</v>
      </c>
      <c r="K24" s="3">
        <v>1</v>
      </c>
      <c r="L24" s="3">
        <v>1</v>
      </c>
      <c r="M24" s="3">
        <v>174</v>
      </c>
      <c r="AL24" t="s">
        <v>150</v>
      </c>
      <c r="AM24" t="s">
        <v>126</v>
      </c>
      <c r="AN24" t="s">
        <v>112</v>
      </c>
      <c r="AO24" s="3">
        <v>0</v>
      </c>
      <c r="AP24" s="3">
        <v>4E+20</v>
      </c>
      <c r="AQ24" s="3">
        <v>0</v>
      </c>
      <c r="AR24" s="3">
        <v>0</v>
      </c>
      <c r="AS24" s="3">
        <v>0</v>
      </c>
    </row>
    <row r="25" spans="2:45" x14ac:dyDescent="0.25">
      <c r="B25" t="s">
        <v>101</v>
      </c>
      <c r="C25" t="s">
        <v>100</v>
      </c>
      <c r="D25" t="s">
        <v>72</v>
      </c>
      <c r="E25" s="3">
        <v>1</v>
      </c>
      <c r="F25" s="3">
        <v>1</v>
      </c>
      <c r="G25" s="3">
        <v>2E+20</v>
      </c>
      <c r="H25" s="3">
        <v>0</v>
      </c>
      <c r="I25" s="3">
        <v>1</v>
      </c>
      <c r="J25" s="3">
        <v>1</v>
      </c>
      <c r="K25" s="3">
        <v>1</v>
      </c>
      <c r="L25" s="3">
        <v>1</v>
      </c>
      <c r="M25" s="3">
        <v>174</v>
      </c>
      <c r="AL25" t="s">
        <v>151</v>
      </c>
      <c r="AM25" t="s">
        <v>128</v>
      </c>
      <c r="AN25" t="s">
        <v>112</v>
      </c>
      <c r="AO25" s="3">
        <v>0</v>
      </c>
      <c r="AP25" s="3">
        <v>4E+20</v>
      </c>
      <c r="AQ25" s="3">
        <v>0</v>
      </c>
      <c r="AR25" s="3">
        <v>0</v>
      </c>
      <c r="AS25" s="3">
        <v>0</v>
      </c>
    </row>
    <row r="26" spans="2:45" x14ac:dyDescent="0.25">
      <c r="B26" t="s">
        <v>102</v>
      </c>
      <c r="C26" t="s">
        <v>90</v>
      </c>
      <c r="D26" t="s">
        <v>89</v>
      </c>
      <c r="E26" s="3">
        <v>7.0903671372871596E-2</v>
      </c>
      <c r="F26" s="3">
        <v>1</v>
      </c>
      <c r="G26" s="3">
        <v>2E+20</v>
      </c>
      <c r="H26" s="3">
        <v>0</v>
      </c>
      <c r="I26" s="3">
        <v>7.0903671372871596E-2</v>
      </c>
      <c r="J26" s="3">
        <v>7.0903671372871596E-2</v>
      </c>
      <c r="K26" s="3">
        <v>2.10771973389186E-2</v>
      </c>
      <c r="L26" s="3">
        <v>0.150028631227416</v>
      </c>
      <c r="M26" s="3">
        <v>174</v>
      </c>
      <c r="AL26" t="s">
        <v>152</v>
      </c>
      <c r="AM26" t="s">
        <v>153</v>
      </c>
      <c r="AN26" t="s">
        <v>112</v>
      </c>
      <c r="AO26" s="3">
        <v>174</v>
      </c>
      <c r="AP26" s="3">
        <v>4E+20</v>
      </c>
      <c r="AQ26" s="3">
        <v>0</v>
      </c>
      <c r="AR26" s="3">
        <v>174</v>
      </c>
      <c r="AS26" s="3">
        <v>174</v>
      </c>
    </row>
    <row r="27" spans="2:45" x14ac:dyDescent="0.25">
      <c r="C27" t="s">
        <v>92</v>
      </c>
      <c r="D27" t="s">
        <v>89</v>
      </c>
      <c r="E27" s="3">
        <v>4.8369033901061398E-2</v>
      </c>
      <c r="F27" s="3">
        <v>1</v>
      </c>
      <c r="G27" s="3">
        <v>2E+20</v>
      </c>
      <c r="H27" s="3">
        <v>0</v>
      </c>
      <c r="I27" s="3">
        <v>4.8369033901061398E-2</v>
      </c>
      <c r="J27" s="3">
        <v>4.8369033901061398E-2</v>
      </c>
      <c r="K27" s="3">
        <v>1.8440946413532399E-2</v>
      </c>
      <c r="L27" s="3">
        <v>8.1607335434169301E-2</v>
      </c>
      <c r="M27" s="3">
        <v>174</v>
      </c>
      <c r="AL27" t="s">
        <v>154</v>
      </c>
      <c r="AM27" t="s">
        <v>155</v>
      </c>
      <c r="AN27" t="s">
        <v>112</v>
      </c>
      <c r="AO27" s="3">
        <v>0.98699162328154499</v>
      </c>
      <c r="AP27" s="3">
        <v>4E+20</v>
      </c>
      <c r="AQ27" s="3">
        <v>0</v>
      </c>
      <c r="AR27" s="3">
        <v>0.98699162328154499</v>
      </c>
      <c r="AS27" s="3">
        <v>0.98699162328154499</v>
      </c>
    </row>
    <row r="28" spans="2:45" x14ac:dyDescent="0.25">
      <c r="C28" t="s">
        <v>94</v>
      </c>
      <c r="D28" t="s">
        <v>89</v>
      </c>
      <c r="E28" s="3">
        <v>2.2534637471810101E-2</v>
      </c>
      <c r="F28" s="3">
        <v>1</v>
      </c>
      <c r="G28" s="3">
        <v>2E+20</v>
      </c>
      <c r="H28" s="3">
        <v>0</v>
      </c>
      <c r="I28" s="3">
        <v>2.2534637471810101E-2</v>
      </c>
      <c r="J28" s="3">
        <v>2.2534637471810101E-2</v>
      </c>
      <c r="K28" s="3">
        <v>0</v>
      </c>
      <c r="L28" s="3">
        <v>0.105959074406774</v>
      </c>
      <c r="M28" s="3">
        <v>174</v>
      </c>
      <c r="AL28" t="s">
        <v>156</v>
      </c>
      <c r="AM28" t="s">
        <v>131</v>
      </c>
      <c r="AN28" t="s">
        <v>112</v>
      </c>
      <c r="AO28" s="3">
        <v>0</v>
      </c>
      <c r="AP28" s="3">
        <v>4E+20</v>
      </c>
      <c r="AQ28" s="3">
        <v>0</v>
      </c>
      <c r="AR28" s="3">
        <v>0</v>
      </c>
      <c r="AS28" s="3">
        <v>0</v>
      </c>
    </row>
    <row r="29" spans="2:45" x14ac:dyDescent="0.25">
      <c r="C29" t="s">
        <v>88</v>
      </c>
      <c r="D29" t="s">
        <v>89</v>
      </c>
      <c r="E29" s="3">
        <v>0</v>
      </c>
      <c r="F29" s="3">
        <v>1</v>
      </c>
      <c r="G29" s="3">
        <v>2E+20</v>
      </c>
      <c r="H29" s="3">
        <v>0</v>
      </c>
      <c r="I29" s="3">
        <v>0</v>
      </c>
      <c r="J29" s="3">
        <v>0</v>
      </c>
      <c r="K29" s="3">
        <v>0</v>
      </c>
      <c r="L29" s="3">
        <v>0</v>
      </c>
      <c r="M29" s="3">
        <v>174</v>
      </c>
      <c r="AL29" t="s">
        <v>157</v>
      </c>
      <c r="AM29" t="s">
        <v>137</v>
      </c>
      <c r="AN29" t="s">
        <v>89</v>
      </c>
      <c r="AO29" s="3">
        <v>0</v>
      </c>
      <c r="AP29" s="3">
        <v>4E+20</v>
      </c>
      <c r="AQ29" s="3">
        <v>0</v>
      </c>
      <c r="AR29" s="3">
        <v>0</v>
      </c>
      <c r="AS29" s="3">
        <v>0</v>
      </c>
    </row>
    <row r="30" spans="2:45" x14ac:dyDescent="0.25">
      <c r="C30" t="s">
        <v>91</v>
      </c>
      <c r="D30" t="s">
        <v>89</v>
      </c>
      <c r="E30" s="3">
        <v>0</v>
      </c>
      <c r="F30" s="3">
        <v>1</v>
      </c>
      <c r="G30" s="3">
        <v>2E+20</v>
      </c>
      <c r="H30" s="3">
        <v>0</v>
      </c>
      <c r="I30" s="3">
        <v>0</v>
      </c>
      <c r="J30" s="3">
        <v>0</v>
      </c>
      <c r="K30" s="3">
        <v>0</v>
      </c>
      <c r="L30" s="3">
        <v>0</v>
      </c>
      <c r="M30" s="3">
        <v>174</v>
      </c>
      <c r="AL30" t="s">
        <v>158</v>
      </c>
      <c r="AM30" t="s">
        <v>139</v>
      </c>
      <c r="AN30" t="s">
        <v>89</v>
      </c>
      <c r="AO30" s="3">
        <v>8.4162118987847006</v>
      </c>
      <c r="AP30" s="3">
        <v>4E+20</v>
      </c>
      <c r="AQ30" s="3">
        <v>0</v>
      </c>
      <c r="AR30" s="3">
        <v>8.4162118987847006</v>
      </c>
      <c r="AS30" s="3">
        <v>8.4162118987847006</v>
      </c>
    </row>
    <row r="31" spans="2:45" x14ac:dyDescent="0.25">
      <c r="C31" t="s">
        <v>93</v>
      </c>
      <c r="D31" t="s">
        <v>89</v>
      </c>
      <c r="E31" s="3">
        <v>0</v>
      </c>
      <c r="F31" s="3">
        <v>1</v>
      </c>
      <c r="G31" s="3">
        <v>2E+20</v>
      </c>
      <c r="H31" s="3">
        <v>0</v>
      </c>
      <c r="I31" s="3">
        <v>0</v>
      </c>
      <c r="J31" s="3">
        <v>0</v>
      </c>
      <c r="K31" s="3">
        <v>0</v>
      </c>
      <c r="L31" s="3">
        <v>0</v>
      </c>
      <c r="M31" s="3">
        <v>174</v>
      </c>
      <c r="AL31" t="s">
        <v>159</v>
      </c>
      <c r="AM31" t="s">
        <v>141</v>
      </c>
      <c r="AN31" t="s">
        <v>89</v>
      </c>
      <c r="AO31" s="3">
        <v>0</v>
      </c>
      <c r="AP31" s="3">
        <v>4E+20</v>
      </c>
      <c r="AQ31" s="3">
        <v>0</v>
      </c>
      <c r="AR31" s="3">
        <v>0</v>
      </c>
      <c r="AS31" s="3">
        <v>0</v>
      </c>
    </row>
    <row r="32" spans="2:45" x14ac:dyDescent="0.25">
      <c r="B32" t="s">
        <v>103</v>
      </c>
      <c r="C32" t="s">
        <v>98</v>
      </c>
      <c r="D32" t="s">
        <v>97</v>
      </c>
      <c r="E32" s="3">
        <v>2.2534637471810101E-2</v>
      </c>
      <c r="F32" s="3">
        <v>1</v>
      </c>
      <c r="G32" s="3">
        <v>2E+20</v>
      </c>
      <c r="H32" s="3">
        <v>0</v>
      </c>
      <c r="I32" s="3">
        <v>2.2534637471810101E-2</v>
      </c>
      <c r="J32" s="3">
        <v>2.2534637471810101E-2</v>
      </c>
      <c r="K32" s="3">
        <v>0</v>
      </c>
      <c r="L32" s="3">
        <v>0.105959074406774</v>
      </c>
      <c r="M32" s="3">
        <v>174</v>
      </c>
      <c r="AL32" t="s">
        <v>160</v>
      </c>
      <c r="AM32" t="s">
        <v>143</v>
      </c>
      <c r="AN32" t="s">
        <v>89</v>
      </c>
      <c r="AO32" s="3">
        <v>3.9210269200949601</v>
      </c>
      <c r="AP32" s="3">
        <v>4E+20</v>
      </c>
      <c r="AQ32" s="3">
        <v>0</v>
      </c>
      <c r="AR32" s="3">
        <v>3.9210269200949601</v>
      </c>
      <c r="AS32" s="3">
        <v>3.9210269200949601</v>
      </c>
    </row>
    <row r="33" spans="2:45" x14ac:dyDescent="0.25">
      <c r="C33" t="s">
        <v>96</v>
      </c>
      <c r="D33" t="s">
        <v>97</v>
      </c>
      <c r="E33" s="3">
        <v>0</v>
      </c>
      <c r="F33" s="3">
        <v>1</v>
      </c>
      <c r="G33" s="3">
        <v>2E+20</v>
      </c>
      <c r="H33" s="3">
        <v>0</v>
      </c>
      <c r="I33" s="3">
        <v>0</v>
      </c>
      <c r="J33" s="3">
        <v>0</v>
      </c>
      <c r="K33" s="3">
        <v>0</v>
      </c>
      <c r="L33" s="3">
        <v>0</v>
      </c>
      <c r="M33" s="3">
        <v>174</v>
      </c>
      <c r="AL33" t="s">
        <v>161</v>
      </c>
      <c r="AM33" t="s">
        <v>133</v>
      </c>
      <c r="AN33" t="s">
        <v>89</v>
      </c>
      <c r="AO33" s="3">
        <v>174</v>
      </c>
      <c r="AP33" s="3">
        <v>4E+20</v>
      </c>
      <c r="AQ33" s="3">
        <v>0</v>
      </c>
      <c r="AR33" s="3">
        <v>174</v>
      </c>
      <c r="AS33" s="3">
        <v>174</v>
      </c>
    </row>
    <row r="34" spans="2:45" x14ac:dyDescent="0.25">
      <c r="B34" t="s">
        <v>104</v>
      </c>
      <c r="C34" t="s">
        <v>90</v>
      </c>
      <c r="D34" t="s">
        <v>89</v>
      </c>
      <c r="E34" s="3">
        <v>6.6892527211191294E-2</v>
      </c>
      <c r="F34" s="3">
        <v>1</v>
      </c>
      <c r="G34" s="3">
        <v>2E+20</v>
      </c>
      <c r="H34" s="3">
        <v>0</v>
      </c>
      <c r="I34" s="3">
        <v>6.6892527211191294E-2</v>
      </c>
      <c r="J34" s="3">
        <v>6.6892527211191294E-2</v>
      </c>
      <c r="K34" s="3">
        <v>4.9999999999999802E-2</v>
      </c>
      <c r="L34" s="3">
        <v>0.162112944795616</v>
      </c>
      <c r="M34" s="3">
        <v>174</v>
      </c>
      <c r="AL34" t="s">
        <v>162</v>
      </c>
      <c r="AM34" t="s">
        <v>135</v>
      </c>
      <c r="AN34" t="s">
        <v>89</v>
      </c>
      <c r="AO34" s="3">
        <v>174</v>
      </c>
      <c r="AP34" s="3">
        <v>4E+20</v>
      </c>
      <c r="AQ34" s="3">
        <v>0</v>
      </c>
      <c r="AR34" s="3">
        <v>174</v>
      </c>
      <c r="AS34" s="3">
        <v>174</v>
      </c>
    </row>
    <row r="35" spans="2:45" x14ac:dyDescent="0.25">
      <c r="C35" t="s">
        <v>92</v>
      </c>
      <c r="D35" t="s">
        <v>89</v>
      </c>
      <c r="E35" s="3">
        <v>5.00000000000001E-2</v>
      </c>
      <c r="F35" s="3">
        <v>1</v>
      </c>
      <c r="G35" s="3">
        <v>2E+20</v>
      </c>
      <c r="H35" s="3">
        <v>0</v>
      </c>
      <c r="I35" s="3">
        <v>5.00000000000001E-2</v>
      </c>
      <c r="J35" s="3">
        <v>5.00000000000001E-2</v>
      </c>
      <c r="K35" s="3">
        <v>4.9999999999999802E-2</v>
      </c>
      <c r="L35" s="3">
        <v>5.0000000000000697E-2</v>
      </c>
      <c r="M35" s="3">
        <v>174</v>
      </c>
      <c r="AL35" t="s">
        <v>163</v>
      </c>
      <c r="AM35" t="s">
        <v>147</v>
      </c>
      <c r="AN35" t="s">
        <v>89</v>
      </c>
      <c r="AO35" s="3">
        <v>0</v>
      </c>
      <c r="AP35" s="3">
        <v>4E+20</v>
      </c>
      <c r="AQ35" s="3">
        <v>0</v>
      </c>
      <c r="AR35" s="3">
        <v>0</v>
      </c>
      <c r="AS35" s="3">
        <v>0</v>
      </c>
    </row>
    <row r="36" spans="2:45" x14ac:dyDescent="0.25">
      <c r="C36" t="s">
        <v>94</v>
      </c>
      <c r="D36" t="s">
        <v>89</v>
      </c>
      <c r="E36" s="3">
        <v>1.6892527211191301E-2</v>
      </c>
      <c r="F36" s="3">
        <v>1</v>
      </c>
      <c r="G36" s="3">
        <v>2E+20</v>
      </c>
      <c r="H36" s="3">
        <v>0</v>
      </c>
      <c r="I36" s="3">
        <v>1.6892527211191301E-2</v>
      </c>
      <c r="J36" s="3">
        <v>1.6892527211191301E-2</v>
      </c>
      <c r="K36" s="3">
        <v>0</v>
      </c>
      <c r="L36" s="3">
        <v>0.112112944795616</v>
      </c>
      <c r="M36" s="3">
        <v>174</v>
      </c>
      <c r="AL36" t="s">
        <v>164</v>
      </c>
      <c r="AM36" t="s">
        <v>149</v>
      </c>
      <c r="AN36" t="s">
        <v>89</v>
      </c>
      <c r="AO36" s="3">
        <v>12.337238818879699</v>
      </c>
      <c r="AP36" s="3">
        <v>4E+20</v>
      </c>
      <c r="AQ36" s="3">
        <v>0</v>
      </c>
      <c r="AR36" s="3">
        <v>12.337238818879699</v>
      </c>
      <c r="AS36" s="3">
        <v>12.337238818879699</v>
      </c>
    </row>
    <row r="37" spans="2:45" x14ac:dyDescent="0.25">
      <c r="C37" t="s">
        <v>88</v>
      </c>
      <c r="D37" t="s">
        <v>89</v>
      </c>
      <c r="E37" s="3">
        <v>0</v>
      </c>
      <c r="F37" s="3">
        <v>1</v>
      </c>
      <c r="G37" s="3">
        <v>2E+20</v>
      </c>
      <c r="H37" s="3">
        <v>0</v>
      </c>
      <c r="I37" s="3">
        <v>0</v>
      </c>
      <c r="J37" s="3">
        <v>0</v>
      </c>
      <c r="K37" s="3">
        <v>0</v>
      </c>
      <c r="L37" s="3">
        <v>0</v>
      </c>
      <c r="M37" s="3">
        <v>174</v>
      </c>
      <c r="AL37" t="s">
        <v>165</v>
      </c>
      <c r="AM37" t="s">
        <v>126</v>
      </c>
      <c r="AN37" t="s">
        <v>112</v>
      </c>
      <c r="AO37" s="3">
        <v>0</v>
      </c>
      <c r="AP37" s="3">
        <v>4E+20</v>
      </c>
      <c r="AQ37" s="3">
        <v>0</v>
      </c>
      <c r="AR37" s="3">
        <v>0</v>
      </c>
      <c r="AS37" s="3">
        <v>0</v>
      </c>
    </row>
    <row r="38" spans="2:45" x14ac:dyDescent="0.25">
      <c r="C38" t="s">
        <v>91</v>
      </c>
      <c r="D38" t="s">
        <v>89</v>
      </c>
      <c r="E38" s="3">
        <v>0</v>
      </c>
      <c r="F38" s="3">
        <v>1</v>
      </c>
      <c r="G38" s="3">
        <v>2E+20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174</v>
      </c>
      <c r="AL38" t="s">
        <v>166</v>
      </c>
      <c r="AM38" t="s">
        <v>128</v>
      </c>
      <c r="AN38" t="s">
        <v>112</v>
      </c>
      <c r="AO38" s="3">
        <v>0</v>
      </c>
      <c r="AP38" s="3">
        <v>4E+20</v>
      </c>
      <c r="AQ38" s="3">
        <v>0</v>
      </c>
      <c r="AR38" s="3">
        <v>0</v>
      </c>
      <c r="AS38" s="3">
        <v>0</v>
      </c>
    </row>
    <row r="39" spans="2:45" x14ac:dyDescent="0.25">
      <c r="C39" t="s">
        <v>93</v>
      </c>
      <c r="D39" t="s">
        <v>89</v>
      </c>
      <c r="E39" s="3">
        <v>0</v>
      </c>
      <c r="F39" s="3">
        <v>1</v>
      </c>
      <c r="G39" s="3">
        <v>2E+20</v>
      </c>
      <c r="H39" s="3">
        <v>0</v>
      </c>
      <c r="I39" s="3">
        <v>0</v>
      </c>
      <c r="J39" s="3">
        <v>0</v>
      </c>
      <c r="K39" s="3">
        <v>0</v>
      </c>
      <c r="L39" s="3">
        <v>0</v>
      </c>
      <c r="M39" s="3">
        <v>174</v>
      </c>
      <c r="AL39" t="s">
        <v>167</v>
      </c>
      <c r="AM39" t="s">
        <v>153</v>
      </c>
      <c r="AN39" t="s">
        <v>112</v>
      </c>
      <c r="AO39" s="3">
        <v>174</v>
      </c>
      <c r="AP39" s="3">
        <v>4E+20</v>
      </c>
      <c r="AQ39" s="3">
        <v>0</v>
      </c>
      <c r="AR39" s="3">
        <v>174</v>
      </c>
      <c r="AS39" s="3">
        <v>174</v>
      </c>
    </row>
    <row r="40" spans="2:45" x14ac:dyDescent="0.25">
      <c r="B40" t="s">
        <v>105</v>
      </c>
      <c r="C40" t="s">
        <v>98</v>
      </c>
      <c r="D40" t="s">
        <v>97</v>
      </c>
      <c r="E40" s="3">
        <v>1.6892527211191301E-2</v>
      </c>
      <c r="F40" s="3">
        <v>1</v>
      </c>
      <c r="G40" s="3">
        <v>2E+20</v>
      </c>
      <c r="H40" s="3">
        <v>0</v>
      </c>
      <c r="I40" s="3">
        <v>1.6892527211191301E-2</v>
      </c>
      <c r="J40" s="3">
        <v>1.6892527211191301E-2</v>
      </c>
      <c r="K40" s="3">
        <v>0</v>
      </c>
      <c r="L40" s="3">
        <v>0.112112944795616</v>
      </c>
      <c r="M40" s="3">
        <v>174</v>
      </c>
      <c r="AL40" t="s">
        <v>168</v>
      </c>
      <c r="AM40" t="s">
        <v>155</v>
      </c>
      <c r="AN40" t="s">
        <v>112</v>
      </c>
      <c r="AO40" s="3">
        <v>0.86860356047184695</v>
      </c>
      <c r="AP40" s="3">
        <v>4E+20</v>
      </c>
      <c r="AQ40" s="3">
        <v>0</v>
      </c>
      <c r="AR40" s="3">
        <v>0.86860356047184695</v>
      </c>
      <c r="AS40" s="3">
        <v>0.86860356047184695</v>
      </c>
    </row>
    <row r="41" spans="2:45" x14ac:dyDescent="0.25">
      <c r="C41" t="s">
        <v>96</v>
      </c>
      <c r="D41" t="s">
        <v>97</v>
      </c>
      <c r="E41" s="3">
        <v>0</v>
      </c>
      <c r="F41" s="3">
        <v>1</v>
      </c>
      <c r="G41" s="3">
        <v>2E+20</v>
      </c>
      <c r="H41" s="3">
        <v>0</v>
      </c>
      <c r="I41" s="3">
        <v>0</v>
      </c>
      <c r="J41" s="3">
        <v>0</v>
      </c>
      <c r="K41" s="3">
        <v>0</v>
      </c>
      <c r="L41" s="3">
        <v>0</v>
      </c>
      <c r="M41" s="3">
        <v>174</v>
      </c>
      <c r="AL41" t="s">
        <v>169</v>
      </c>
      <c r="AM41" t="s">
        <v>131</v>
      </c>
      <c r="AN41" t="s">
        <v>112</v>
      </c>
      <c r="AO41" s="3">
        <v>0</v>
      </c>
      <c r="AP41" s="3">
        <v>4E+20</v>
      </c>
      <c r="AQ41" s="3">
        <v>0</v>
      </c>
      <c r="AR41" s="3">
        <v>0</v>
      </c>
      <c r="AS41" s="3">
        <v>0</v>
      </c>
    </row>
    <row r="42" spans="2:45" x14ac:dyDescent="0.25">
      <c r="B42" t="s">
        <v>106</v>
      </c>
      <c r="C42" t="s">
        <v>100</v>
      </c>
      <c r="D42" t="s">
        <v>72</v>
      </c>
      <c r="E42" s="3">
        <v>1</v>
      </c>
      <c r="F42" s="3">
        <v>1</v>
      </c>
      <c r="G42" s="3">
        <v>2E+20</v>
      </c>
      <c r="H42" s="3">
        <v>0</v>
      </c>
      <c r="I42" s="3">
        <v>1</v>
      </c>
      <c r="J42" s="3">
        <v>1</v>
      </c>
      <c r="K42" s="3">
        <v>1</v>
      </c>
      <c r="L42" s="3">
        <v>1</v>
      </c>
      <c r="M42" s="3">
        <v>174</v>
      </c>
      <c r="AL42" t="s">
        <v>171</v>
      </c>
      <c r="AM42" t="s">
        <v>79</v>
      </c>
      <c r="AN42" t="s">
        <v>118</v>
      </c>
      <c r="AO42" s="3">
        <v>0</v>
      </c>
      <c r="AP42" s="3">
        <v>4E+20</v>
      </c>
      <c r="AQ42" s="3">
        <v>0</v>
      </c>
      <c r="AR42" s="3">
        <v>0</v>
      </c>
      <c r="AS42" s="3">
        <v>0</v>
      </c>
    </row>
    <row r="43" spans="2:45" x14ac:dyDescent="0.25">
      <c r="B43" t="s">
        <v>107</v>
      </c>
      <c r="C43" t="s">
        <v>100</v>
      </c>
      <c r="D43" t="s">
        <v>72</v>
      </c>
      <c r="E43" s="3">
        <v>1</v>
      </c>
      <c r="F43" s="3">
        <v>1</v>
      </c>
      <c r="G43" s="3">
        <v>2E+20</v>
      </c>
      <c r="H43" s="3">
        <v>0</v>
      </c>
      <c r="I43" s="3">
        <v>1</v>
      </c>
      <c r="J43" s="3">
        <v>1</v>
      </c>
      <c r="K43" s="3">
        <v>1</v>
      </c>
      <c r="L43" s="3">
        <v>1</v>
      </c>
      <c r="M43" s="3">
        <v>174</v>
      </c>
      <c r="AL43" t="s">
        <v>172</v>
      </c>
      <c r="AM43" t="s">
        <v>137</v>
      </c>
      <c r="AN43" t="s">
        <v>89</v>
      </c>
      <c r="AO43" s="3">
        <v>0</v>
      </c>
      <c r="AP43" s="3">
        <v>4E+20</v>
      </c>
      <c r="AQ43" s="3">
        <v>0</v>
      </c>
      <c r="AR43" s="3">
        <v>0</v>
      </c>
      <c r="AS43" s="3">
        <v>0</v>
      </c>
    </row>
    <row r="44" spans="2:45" x14ac:dyDescent="0.25">
      <c r="AL44" t="s">
        <v>173</v>
      </c>
      <c r="AM44" t="s">
        <v>139</v>
      </c>
      <c r="AN44" t="s">
        <v>89</v>
      </c>
      <c r="AO44" s="3">
        <v>8.7000000000000099</v>
      </c>
      <c r="AP44" s="3">
        <v>4E+20</v>
      </c>
      <c r="AQ44" s="3">
        <v>0</v>
      </c>
      <c r="AR44" s="3">
        <v>8.7000000000000099</v>
      </c>
      <c r="AS44" s="3">
        <v>8.7000000000000099</v>
      </c>
    </row>
    <row r="45" spans="2:45" x14ac:dyDescent="0.25">
      <c r="AL45" t="s">
        <v>174</v>
      </c>
      <c r="AM45" t="s">
        <v>141</v>
      </c>
      <c r="AN45" t="s">
        <v>89</v>
      </c>
      <c r="AO45" s="3">
        <v>0</v>
      </c>
      <c r="AP45" s="3">
        <v>4E+20</v>
      </c>
      <c r="AQ45" s="3">
        <v>0</v>
      </c>
      <c r="AR45" s="3">
        <v>0</v>
      </c>
      <c r="AS45" s="3">
        <v>0</v>
      </c>
    </row>
    <row r="46" spans="2:45" x14ac:dyDescent="0.25">
      <c r="AL46" t="s">
        <v>175</v>
      </c>
      <c r="AM46" t="s">
        <v>143</v>
      </c>
      <c r="AN46" t="s">
        <v>89</v>
      </c>
      <c r="AO46" s="3">
        <v>2.93929973474728</v>
      </c>
      <c r="AP46" s="3">
        <v>4E+20</v>
      </c>
      <c r="AQ46" s="3">
        <v>0</v>
      </c>
      <c r="AR46" s="3">
        <v>2.93929973474728</v>
      </c>
      <c r="AS46" s="3">
        <v>2.93929973474728</v>
      </c>
    </row>
    <row r="47" spans="2:45" x14ac:dyDescent="0.25">
      <c r="AL47" t="s">
        <v>176</v>
      </c>
      <c r="AM47" t="s">
        <v>133</v>
      </c>
      <c r="AN47" t="s">
        <v>89</v>
      </c>
      <c r="AO47" s="3">
        <v>174</v>
      </c>
      <c r="AP47" s="3">
        <v>4E+20</v>
      </c>
      <c r="AQ47" s="3">
        <v>0</v>
      </c>
      <c r="AR47" s="3">
        <v>174</v>
      </c>
      <c r="AS47" s="3">
        <v>174</v>
      </c>
    </row>
    <row r="48" spans="2:45" x14ac:dyDescent="0.25">
      <c r="AL48" t="s">
        <v>177</v>
      </c>
      <c r="AM48" t="s">
        <v>135</v>
      </c>
      <c r="AN48" t="s">
        <v>89</v>
      </c>
      <c r="AO48" s="3">
        <v>174</v>
      </c>
      <c r="AP48" s="3">
        <v>4E+20</v>
      </c>
      <c r="AQ48" s="3">
        <v>0</v>
      </c>
      <c r="AR48" s="3">
        <v>174</v>
      </c>
      <c r="AS48" s="3">
        <v>174</v>
      </c>
    </row>
    <row r="49" spans="38:45" x14ac:dyDescent="0.25">
      <c r="AL49" t="s">
        <v>178</v>
      </c>
      <c r="AM49" t="s">
        <v>147</v>
      </c>
      <c r="AN49" t="s">
        <v>89</v>
      </c>
      <c r="AO49" s="3">
        <v>0</v>
      </c>
      <c r="AP49" s="3">
        <v>4E+20</v>
      </c>
      <c r="AQ49" s="3">
        <v>0</v>
      </c>
      <c r="AR49" s="3">
        <v>0</v>
      </c>
      <c r="AS49" s="3">
        <v>0</v>
      </c>
    </row>
    <row r="50" spans="38:45" x14ac:dyDescent="0.25">
      <c r="AL50" t="s">
        <v>179</v>
      </c>
      <c r="AM50" t="s">
        <v>149</v>
      </c>
      <c r="AN50" t="s">
        <v>89</v>
      </c>
      <c r="AO50" s="3">
        <v>11.639299734747301</v>
      </c>
      <c r="AP50" s="3">
        <v>4E+20</v>
      </c>
      <c r="AQ50" s="3">
        <v>0</v>
      </c>
      <c r="AR50" s="3">
        <v>11.639299734747301</v>
      </c>
      <c r="AS50" s="3">
        <v>11.639299734747301</v>
      </c>
    </row>
    <row r="51" spans="38:45" x14ac:dyDescent="0.25">
      <c r="AL51" t="s">
        <v>180</v>
      </c>
      <c r="AM51" t="s">
        <v>126</v>
      </c>
      <c r="AN51" t="s">
        <v>112</v>
      </c>
      <c r="AO51" s="3">
        <v>0</v>
      </c>
      <c r="AP51" s="3">
        <v>4E+20</v>
      </c>
      <c r="AQ51" s="3">
        <v>0</v>
      </c>
      <c r="AR51" s="3">
        <v>0</v>
      </c>
      <c r="AS51" s="3">
        <v>0</v>
      </c>
    </row>
    <row r="52" spans="38:45" x14ac:dyDescent="0.25">
      <c r="AL52" t="s">
        <v>181</v>
      </c>
      <c r="AM52" t="s">
        <v>128</v>
      </c>
      <c r="AN52" t="s">
        <v>112</v>
      </c>
      <c r="AO52" s="3">
        <v>0</v>
      </c>
      <c r="AP52" s="3">
        <v>4E+20</v>
      </c>
      <c r="AQ52" s="3">
        <v>0</v>
      </c>
      <c r="AR52" s="3">
        <v>0</v>
      </c>
      <c r="AS52" s="3">
        <v>0</v>
      </c>
    </row>
    <row r="53" spans="38:45" x14ac:dyDescent="0.25">
      <c r="AL53" t="s">
        <v>182</v>
      </c>
      <c r="AM53" t="s">
        <v>153</v>
      </c>
      <c r="AN53" t="s">
        <v>112</v>
      </c>
      <c r="AO53" s="3">
        <v>174</v>
      </c>
      <c r="AP53" s="3">
        <v>4E+20</v>
      </c>
      <c r="AQ53" s="3">
        <v>0</v>
      </c>
      <c r="AR53" s="3">
        <v>174</v>
      </c>
      <c r="AS53" s="3">
        <v>174</v>
      </c>
    </row>
    <row r="54" spans="38:45" x14ac:dyDescent="0.25">
      <c r="AL54" t="s">
        <v>183</v>
      </c>
      <c r="AM54" t="s">
        <v>155</v>
      </c>
      <c r="AN54" t="s">
        <v>112</v>
      </c>
      <c r="AO54" s="3">
        <v>0.89789219508556795</v>
      </c>
      <c r="AP54" s="3">
        <v>4E+20</v>
      </c>
      <c r="AQ54" s="3">
        <v>0</v>
      </c>
      <c r="AR54" s="3">
        <v>0.89789219508556795</v>
      </c>
      <c r="AS54" s="3">
        <v>0.89789219508556795</v>
      </c>
    </row>
    <row r="55" spans="38:45" x14ac:dyDescent="0.25">
      <c r="AL55" t="s">
        <v>184</v>
      </c>
      <c r="AM55" t="s">
        <v>131</v>
      </c>
      <c r="AN55" t="s">
        <v>112</v>
      </c>
      <c r="AO55" s="3">
        <v>0</v>
      </c>
      <c r="AP55" s="3">
        <v>4E+20</v>
      </c>
      <c r="AQ55" s="3">
        <v>0</v>
      </c>
      <c r="AR55" s="3">
        <v>0</v>
      </c>
      <c r="AS55" s="3">
        <v>0</v>
      </c>
    </row>
  </sheetData>
  <dataConsolidate/>
  <conditionalFormatting pivot="1" sqref="G3:G43">
    <cfRule type="expression" dxfId="37" priority="10">
      <formula>G3=200000000000000000000</formula>
    </cfRule>
  </conditionalFormatting>
  <conditionalFormatting pivot="1" sqref="T3:T15">
    <cfRule type="expression" dxfId="36" priority="9">
      <formula>T3=200000000000000000000</formula>
    </cfRule>
  </conditionalFormatting>
  <conditionalFormatting pivot="1" sqref="T3:T15">
    <cfRule type="expression" dxfId="35" priority="8">
      <formula>T3=300000000000000000000</formula>
    </cfRule>
  </conditionalFormatting>
  <conditionalFormatting pivot="1" sqref="G3:G43">
    <cfRule type="expression" dxfId="34" priority="7">
      <formula>G3=300000000000000000000</formula>
    </cfRule>
  </conditionalFormatting>
  <conditionalFormatting pivot="1" sqref="F3:F43">
    <cfRule type="expression" dxfId="33" priority="6">
      <formula>F3=0</formula>
    </cfRule>
  </conditionalFormatting>
  <conditionalFormatting pivot="1" sqref="F3:F43">
    <cfRule type="expression" dxfId="32" priority="5">
      <formula>F3=1</formula>
    </cfRule>
  </conditionalFormatting>
  <conditionalFormatting pivot="1" sqref="T3:T15">
    <cfRule type="expression" dxfId="31" priority="4">
      <formula>T3=400000000000000000000</formula>
    </cfRule>
  </conditionalFormatting>
  <conditionalFormatting pivot="1" sqref="AP3:AP55">
    <cfRule type="expression" dxfId="30" priority="3">
      <formula>AP3=400000000000000000000</formula>
    </cfRule>
  </conditionalFormatting>
  <conditionalFormatting pivot="1" sqref="AF3">
    <cfRule type="expression" dxfId="29" priority="2">
      <formula>AF3=400000000000000000000</formula>
    </cfRule>
  </conditionalFormatting>
  <conditionalFormatting pivot="1" sqref="G3:G43">
    <cfRule type="expression" dxfId="28" priority="1">
      <formula>G3=400000000000000000000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42"/>
  <sheetViews>
    <sheetView workbookViewId="0">
      <selection activeCell="K2" sqref="K2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17.85546875" bestFit="1" customWidth="1"/>
    <col min="5" max="5" width="19.5703125" bestFit="1" customWidth="1"/>
    <col min="6" max="6" width="13.8554687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2.5703125" bestFit="1" customWidth="1"/>
    <col min="12" max="12" width="52.7109375" bestFit="1" customWidth="1"/>
    <col min="13" max="13" width="17.28515625" bestFit="1" customWidth="1"/>
    <col min="14" max="14" width="20.28515625" bestFit="1" customWidth="1"/>
    <col min="15" max="15" width="18" bestFit="1" customWidth="1"/>
    <col min="16" max="16" width="20.5703125" bestFit="1" customWidth="1"/>
    <col min="17" max="17" width="12.42578125" bestFit="1" customWidth="1"/>
    <col min="18" max="18" width="19.5703125" bestFit="1" customWidth="1"/>
    <col min="19" max="19" width="19.85546875" bestFit="1" customWidth="1"/>
    <col min="20" max="20" width="18.5703125" bestFit="1" customWidth="1"/>
    <col min="21" max="21" width="18.85546875" bestFit="1" customWidth="1"/>
    <col min="22" max="22" width="30.140625" bestFit="1" customWidth="1"/>
    <col min="23" max="23" width="21" bestFit="1" customWidth="1"/>
    <col min="24" max="24" width="24.42578125" bestFit="1" customWidth="1"/>
    <col min="25" max="25" width="22.7109375" bestFit="1" customWidth="1"/>
  </cols>
  <sheetData>
    <row r="1" spans="1:2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25">
      <c r="A2" t="s">
        <v>67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4.1783651013620604</v>
      </c>
      <c r="H2">
        <v>2E+20</v>
      </c>
      <c r="I2">
        <v>0.16053247526962899</v>
      </c>
      <c r="J2">
        <v>8.1342765533160808</v>
      </c>
      <c r="K2">
        <v>174</v>
      </c>
      <c r="L2" t="str">
        <f>DiscreteStatsTable[[#This Row],[ProjectName]]&amp;DiscreteStatsTable[[#This Row],[Name]]&amp;DiscreteStatsTable[[#This Row],[Type]]&amp;DiscreteStatsTable[[#This Row],[Source]]</f>
        <v>Unnamed ProjectFlow TimeIntervalUser Specified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4.1783651013620604</v>
      </c>
      <c r="O2" s="3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s="3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 s="3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 s="3" cm="1">
        <f t="array" ref="R2">MIN(IF((DiscreteStatsTable[GroupByKey]=DiscreteStatsTable[[#This Row],[GroupByKey]]),(DiscreteStatsTable[GroupByKey]=DiscreteStatsTable[[#This Row],[GroupByKey]])*DiscreteStatsTable[Average]))</f>
        <v>4.1783651013620604</v>
      </c>
      <c r="S2" s="3" cm="1">
        <f t="array" ref="S2">MAX(IF((DiscreteStatsTable[GroupByKey]=DiscreteStatsTable[[#This Row],[GroupByKey]]),(DiscreteStatsTable[GroupByKey]=DiscreteStatsTable[[#This Row],[GroupByKey]])*DiscreteStatsTable[Average]))</f>
        <v>4.1783651013620604</v>
      </c>
      <c r="T2" s="3" cm="1">
        <f t="array" ref="T2">MIN(IF((DiscreteStatsTable[GroupByKey]=DiscreteStatsTable[[#This Row],[GroupByKey]]),(DiscreteStatsTable[GroupByKey]=DiscreteStatsTable[[#This Row],[GroupByKey]])*DiscreteStatsTable[Minimum]))</f>
        <v>0.16053247526962899</v>
      </c>
      <c r="U2" s="3" cm="1">
        <f t="array" ref="U2">MAX(IF((DiscreteStatsTable[GroupByKey]=DiscreteStatsTable[[#This Row],[GroupByKey]]),(DiscreteStatsTable[GroupByKey]=DiscreteStatsTable[[#This Row],[GroupByKey]])*DiscreteStatsTable[Maximum]))</f>
        <v>8.1342765533160808</v>
      </c>
      <c r="V2" s="3" cm="1">
        <f t="array" ref="V2">IFERROR(AVERAGE(IF((DiscreteStatsTable[GroupByKey]=DiscreteStatsTable[[#This Row],[GroupByKey]]),(DiscreteStatsTable[GroupByKey]=DiscreteStatsTable[[#This Row],[GroupByKey]])*DiscreteStatsTable[NumberObservations])),0)</f>
        <v>174</v>
      </c>
      <c r="W2" s="3">
        <f>IF((DiscreteStatsTable[[#This Row],[RepsRequested]]&gt;1),DiscreteStatsTable[[#This Row],[HalfWidth]],DiscreteStatsTable[[#This Row],[BatchMeansHalfWidth]])</f>
        <v>2E+20</v>
      </c>
      <c r="X2" s="3" cm="1">
        <f t="array" ref="X2">COUNT(IF((DiscreteStatsTable[GroupByKey]=DiscreteStatsTable[[#This Row],[GroupByKey]]),(DiscreteStatsTable[GroupByKey]=DiscreteStatsTable[[#This Row],[GroupByKey]])*DiscreteStatsTable[Replication]))</f>
        <v>1</v>
      </c>
      <c r="Y2" s="3">
        <f>IF(DiscreteStatsTable[[#This Row],[RepsRequested]]=DiscreteStatsTable[[#This Row],[RepsWithStatObserved]],1,0)</f>
        <v>1</v>
      </c>
    </row>
    <row r="3" spans="1:25" x14ac:dyDescent="0.25">
      <c r="A3" t="s">
        <v>67</v>
      </c>
      <c r="B3" t="s">
        <v>69</v>
      </c>
      <c r="C3">
        <v>1</v>
      </c>
      <c r="D3" t="s">
        <v>73</v>
      </c>
      <c r="E3" t="s">
        <v>74</v>
      </c>
      <c r="F3" t="s">
        <v>75</v>
      </c>
      <c r="G3">
        <v>0</v>
      </c>
      <c r="H3">
        <v>2E+20</v>
      </c>
      <c r="I3">
        <v>0</v>
      </c>
      <c r="J3">
        <v>0</v>
      </c>
      <c r="K3">
        <v>174</v>
      </c>
      <c r="L3" t="str">
        <f>DiscreteStatsTable[[#This Row],[ProjectName]]&amp;DiscreteStatsTable[[#This Row],[Name]]&amp;DiscreteStatsTable[[#This Row],[Type]]&amp;DiscreteStatsTable[[#This Row],[Source]]</f>
        <v>Unnamed ProjectJobsNVA CostEntity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s="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s="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 s="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 s="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s="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s="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s="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s="3" cm="1">
        <f t="array" ref="V3">IFERROR(AVERAGE(IF((DiscreteStatsTable[GroupByKey]=DiscreteStatsTable[[#This Row],[GroupByKey]]),(DiscreteStatsTable[GroupByKey]=DiscreteStatsTable[[#This Row],[GroupByKey]])*DiscreteStatsTable[NumberObservations])),0)</f>
        <v>174</v>
      </c>
      <c r="W3" s="3">
        <f>IF((DiscreteStatsTable[[#This Row],[RepsRequested]]&gt;1),DiscreteStatsTable[[#This Row],[HalfWidth]],DiscreteStatsTable[[#This Row],[BatchMeansHalfWidth]])</f>
        <v>2E+20</v>
      </c>
      <c r="X3" s="3" cm="1">
        <f t="array" ref="X3">COUNT(IF((DiscreteStatsTable[GroupByKey]=DiscreteStatsTable[[#This Row],[GroupByKey]]),(DiscreteStatsTable[GroupByKey]=DiscreteStatsTable[[#This Row],[GroupByKey]])*DiscreteStatsTable[Replication]))</f>
        <v>1</v>
      </c>
      <c r="Y3" s="3">
        <f>IF(DiscreteStatsTable[[#This Row],[RepsRequested]]=DiscreteStatsTable[[#This Row],[RepsWithStatObserved]],1,0)</f>
        <v>1</v>
      </c>
    </row>
    <row r="4" spans="1:25" x14ac:dyDescent="0.25">
      <c r="A4" t="s">
        <v>67</v>
      </c>
      <c r="B4" t="s">
        <v>69</v>
      </c>
      <c r="C4">
        <v>1</v>
      </c>
      <c r="D4" t="s">
        <v>73</v>
      </c>
      <c r="E4" t="s">
        <v>76</v>
      </c>
      <c r="F4" t="s">
        <v>75</v>
      </c>
      <c r="G4">
        <v>0</v>
      </c>
      <c r="H4">
        <v>2E+20</v>
      </c>
      <c r="I4">
        <v>0</v>
      </c>
      <c r="J4">
        <v>0</v>
      </c>
      <c r="K4">
        <v>174</v>
      </c>
      <c r="L4" t="str">
        <f>DiscreteStatsTable[[#This Row],[ProjectName]]&amp;DiscreteStatsTable[[#This Row],[Name]]&amp;DiscreteStatsTable[[#This Row],[Type]]&amp;DiscreteStatsTable[[#This Row],[Source]]</f>
        <v>Unnamed ProjectJobsNVA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0</v>
      </c>
      <c r="O4" s="3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s="3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 s="3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 s="3" cm="1">
        <f t="array" ref="R4">MIN(IF((DiscreteStatsTable[GroupByKey]=DiscreteStatsTable[[#This Row],[GroupByKey]]),(DiscreteStatsTable[GroupByKey]=DiscreteStatsTable[[#This Row],[GroupByKey]])*DiscreteStatsTable[Average]))</f>
        <v>0</v>
      </c>
      <c r="S4" s="3" cm="1">
        <f t="array" ref="S4">MAX(IF((DiscreteStatsTable[GroupByKey]=DiscreteStatsTable[[#This Row],[GroupByKey]]),(DiscreteStatsTable[GroupByKey]=DiscreteStatsTable[[#This Row],[GroupByKey]])*DiscreteStatsTable[Average]))</f>
        <v>0</v>
      </c>
      <c r="T4" s="3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s="3" cm="1">
        <f t="array" ref="U4">MAX(IF((DiscreteStatsTable[GroupByKey]=DiscreteStatsTable[[#This Row],[GroupByKey]]),(DiscreteStatsTable[GroupByKey]=DiscreteStatsTable[[#This Row],[GroupByKey]])*DiscreteStatsTable[Maximum]))</f>
        <v>0</v>
      </c>
      <c r="V4" s="3" cm="1">
        <f t="array" ref="V4">IFERROR(AVERAGE(IF((DiscreteStatsTable[GroupByKey]=DiscreteStatsTable[[#This Row],[GroupByKey]]),(DiscreteStatsTable[GroupByKey]=DiscreteStatsTable[[#This Row],[GroupByKey]])*DiscreteStatsTable[NumberObservations])),0)</f>
        <v>174</v>
      </c>
      <c r="W4" s="3">
        <f>IF((DiscreteStatsTable[[#This Row],[RepsRequested]]&gt;1),DiscreteStatsTable[[#This Row],[HalfWidth]],DiscreteStatsTable[[#This Row],[BatchMeansHalfWidth]])</f>
        <v>2E+20</v>
      </c>
      <c r="X4" s="3" cm="1">
        <f t="array" ref="X4">COUNT(IF((DiscreteStatsTable[GroupByKey]=DiscreteStatsTable[[#This Row],[GroupByKey]]),(DiscreteStatsTable[GroupByKey]=DiscreteStatsTable[[#This Row],[GroupByKey]])*DiscreteStatsTable[Replication]))</f>
        <v>1</v>
      </c>
      <c r="Y4" s="3">
        <f>IF(DiscreteStatsTable[[#This Row],[RepsRequested]]=DiscreteStatsTable[[#This Row],[RepsWithStatObserved]],1,0)</f>
        <v>1</v>
      </c>
    </row>
    <row r="5" spans="1:25" x14ac:dyDescent="0.25">
      <c r="A5" t="s">
        <v>67</v>
      </c>
      <c r="B5" t="s">
        <v>69</v>
      </c>
      <c r="C5">
        <v>1</v>
      </c>
      <c r="D5" t="s">
        <v>73</v>
      </c>
      <c r="E5" t="s">
        <v>77</v>
      </c>
      <c r="F5" t="s">
        <v>75</v>
      </c>
      <c r="G5">
        <v>0</v>
      </c>
      <c r="H5">
        <v>2E+20</v>
      </c>
      <c r="I5">
        <v>0</v>
      </c>
      <c r="J5">
        <v>0</v>
      </c>
      <c r="K5">
        <v>174</v>
      </c>
      <c r="L5" t="str">
        <f>DiscreteStatsTable[[#This Row],[ProjectName]]&amp;DiscreteStatsTable[[#This Row],[Name]]&amp;DiscreteStatsTable[[#This Row],[Type]]&amp;DiscreteStatsTable[[#This Row],[Source]]</f>
        <v>Unnamed ProjectJobsOther CostEntity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s="3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s="3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 s="3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 s="3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s="3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s="3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s="3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s="3" cm="1">
        <f t="array" ref="V5">IFERROR(AVERAGE(IF((DiscreteStatsTable[GroupByKey]=DiscreteStatsTable[[#This Row],[GroupByKey]]),(DiscreteStatsTable[GroupByKey]=DiscreteStatsTable[[#This Row],[GroupByKey]])*DiscreteStatsTable[NumberObservations])),0)</f>
        <v>174</v>
      </c>
      <c r="W5" s="3">
        <f>IF((DiscreteStatsTable[[#This Row],[RepsRequested]]&gt;1),DiscreteStatsTable[[#This Row],[HalfWidth]],DiscreteStatsTable[[#This Row],[BatchMeansHalfWidth]])</f>
        <v>2E+20</v>
      </c>
      <c r="X5" s="3" cm="1">
        <f t="array" ref="X5">COUNT(IF((DiscreteStatsTable[GroupByKey]=DiscreteStatsTable[[#This Row],[GroupByKey]]),(DiscreteStatsTable[GroupByKey]=DiscreteStatsTable[[#This Row],[GroupByKey]])*DiscreteStatsTable[Replication]))</f>
        <v>1</v>
      </c>
      <c r="Y5" s="3">
        <f>IF(DiscreteStatsTable[[#This Row],[RepsRequested]]=DiscreteStatsTable[[#This Row],[RepsWithStatObserved]],1,0)</f>
        <v>1</v>
      </c>
    </row>
    <row r="6" spans="1:25" x14ac:dyDescent="0.25">
      <c r="A6" t="s">
        <v>67</v>
      </c>
      <c r="B6" t="s">
        <v>69</v>
      </c>
      <c r="C6">
        <v>1</v>
      </c>
      <c r="D6" t="s">
        <v>73</v>
      </c>
      <c r="E6" t="s">
        <v>78</v>
      </c>
      <c r="F6" t="s">
        <v>75</v>
      </c>
      <c r="G6">
        <v>0</v>
      </c>
      <c r="H6">
        <v>2E+20</v>
      </c>
      <c r="I6">
        <v>0</v>
      </c>
      <c r="J6">
        <v>0</v>
      </c>
      <c r="K6">
        <v>174</v>
      </c>
      <c r="L6" s="3" t="str">
        <f>DiscreteStatsTable[[#This Row],[ProjectName]]&amp;DiscreteStatsTable[[#This Row],[Name]]&amp;DiscreteStatsTable[[#This Row],[Type]]&amp;DiscreteStatsTable[[#This Row],[Source]]</f>
        <v>Unnamed ProjectJobsOther TimeEntity</v>
      </c>
      <c r="M6" s="3" cm="1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 s="3" cm="1">
        <f t="array" ref="N6">IFERROR(AVERAGE(IF((DiscreteStatsTable[GroupByKey]=DiscreteStatsTable[[#This Row],[GroupByKey]]),(DiscreteStatsTable[GroupByKey]=DiscreteStatsTable[[#This Row],[GroupByKey]])*DiscreteStatsTable[Average])),0)</f>
        <v>0</v>
      </c>
      <c r="O6" s="3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s="3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 s="3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 s="3" cm="1">
        <f t="array" ref="R6">MIN(IF((DiscreteStatsTable[GroupByKey]=DiscreteStatsTable[[#This Row],[GroupByKey]]),(DiscreteStatsTable[GroupByKey]=DiscreteStatsTable[[#This Row],[GroupByKey]])*DiscreteStatsTable[Average]))</f>
        <v>0</v>
      </c>
      <c r="S6" s="3" cm="1">
        <f t="array" ref="S6">MAX(IF((DiscreteStatsTable[GroupByKey]=DiscreteStatsTable[[#This Row],[GroupByKey]]),(DiscreteStatsTable[GroupByKey]=DiscreteStatsTable[[#This Row],[GroupByKey]])*DiscreteStatsTable[Average]))</f>
        <v>0</v>
      </c>
      <c r="T6" s="3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s="3" cm="1">
        <f t="array" ref="U6">MAX(IF((DiscreteStatsTable[GroupByKey]=DiscreteStatsTable[[#This Row],[GroupByKey]]),(DiscreteStatsTable[GroupByKey]=DiscreteStatsTable[[#This Row],[GroupByKey]])*DiscreteStatsTable[Maximum]))</f>
        <v>0</v>
      </c>
      <c r="V6" s="3" cm="1">
        <f t="array" ref="V6">IFERROR(AVERAGE(IF((DiscreteStatsTable[GroupByKey]=DiscreteStatsTable[[#This Row],[GroupByKey]]),(DiscreteStatsTable[GroupByKey]=DiscreteStatsTable[[#This Row],[GroupByKey]])*DiscreteStatsTable[NumberObservations])),0)</f>
        <v>174</v>
      </c>
      <c r="W6" s="3">
        <f>IF((DiscreteStatsTable[[#This Row],[RepsRequested]]&gt;1),DiscreteStatsTable[[#This Row],[HalfWidth]],DiscreteStatsTable[[#This Row],[BatchMeansHalfWidth]])</f>
        <v>2E+20</v>
      </c>
      <c r="X6" s="3" cm="1">
        <f t="array" ref="X6">COUNT(IF((DiscreteStatsTable[GroupByKey]=DiscreteStatsTable[[#This Row],[GroupByKey]]),(DiscreteStatsTable[GroupByKey]=DiscreteStatsTable[[#This Row],[GroupByKey]])*DiscreteStatsTable[Replication]))</f>
        <v>1</v>
      </c>
      <c r="Y6" s="3">
        <f>IF(DiscreteStatsTable[[#This Row],[RepsRequested]]=DiscreteStatsTable[[#This Row],[RepsWithStatObserved]],1,0)</f>
        <v>1</v>
      </c>
    </row>
    <row r="7" spans="1:25" x14ac:dyDescent="0.25">
      <c r="A7" t="s">
        <v>67</v>
      </c>
      <c r="B7" t="s">
        <v>69</v>
      </c>
      <c r="C7">
        <v>1</v>
      </c>
      <c r="D7" t="s">
        <v>73</v>
      </c>
      <c r="E7" t="s">
        <v>79</v>
      </c>
      <c r="F7" t="s">
        <v>75</v>
      </c>
      <c r="G7">
        <v>0</v>
      </c>
      <c r="H7">
        <v>2E+20</v>
      </c>
      <c r="I7">
        <v>0</v>
      </c>
      <c r="J7">
        <v>0</v>
      </c>
      <c r="K7">
        <v>174</v>
      </c>
      <c r="L7" s="3" t="str">
        <f>DiscreteStatsTable[[#This Row],[ProjectName]]&amp;DiscreteStatsTable[[#This Row],[Name]]&amp;DiscreteStatsTable[[#This Row],[Type]]&amp;DiscreteStatsTable[[#This Row],[Source]]</f>
        <v>Unnamed ProjectJobsTotal CostEntity</v>
      </c>
      <c r="M7" s="3" cm="1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 s="3" cm="1">
        <f t="array" ref="N7">IFERROR(AVERAGE(IF((DiscreteStatsTable[GroupByKey]=DiscreteStatsTable[[#This Row],[GroupByKey]]),(DiscreteStatsTable[GroupByKey]=DiscreteStatsTable[[#This Row],[GroupByKey]])*DiscreteStatsTable[Average])),0)</f>
        <v>0</v>
      </c>
      <c r="O7" s="3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s="3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 s="3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 s="3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s="3" cm="1">
        <f t="array" ref="S7">MAX(IF((DiscreteStatsTable[GroupByKey]=DiscreteStatsTable[[#This Row],[GroupByKey]]),(DiscreteStatsTable[GroupByKey]=DiscreteStatsTable[[#This Row],[GroupByKey]])*DiscreteStatsTable[Average]))</f>
        <v>0</v>
      </c>
      <c r="T7" s="3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s="3" cm="1">
        <f t="array" ref="U7">MAX(IF((DiscreteStatsTable[GroupByKey]=DiscreteStatsTable[[#This Row],[GroupByKey]]),(DiscreteStatsTable[GroupByKey]=DiscreteStatsTable[[#This Row],[GroupByKey]])*DiscreteStatsTable[Maximum]))</f>
        <v>0</v>
      </c>
      <c r="V7" s="3" cm="1">
        <f t="array" ref="V7">IFERROR(AVERAGE(IF((DiscreteStatsTable[GroupByKey]=DiscreteStatsTable[[#This Row],[GroupByKey]]),(DiscreteStatsTable[GroupByKey]=DiscreteStatsTable[[#This Row],[GroupByKey]])*DiscreteStatsTable[NumberObservations])),0)</f>
        <v>174</v>
      </c>
      <c r="W7" s="3">
        <f>IF((DiscreteStatsTable[[#This Row],[RepsRequested]]&gt;1),DiscreteStatsTable[[#This Row],[HalfWidth]],DiscreteStatsTable[[#This Row],[BatchMeansHalfWidth]])</f>
        <v>2E+20</v>
      </c>
      <c r="X7" s="3" cm="1">
        <f t="array" ref="X7">COUNT(IF((DiscreteStatsTable[GroupByKey]=DiscreteStatsTable[[#This Row],[GroupByKey]]),(DiscreteStatsTable[GroupByKey]=DiscreteStatsTable[[#This Row],[GroupByKey]])*DiscreteStatsTable[Replication]))</f>
        <v>1</v>
      </c>
      <c r="Y7" s="3">
        <f>IF(DiscreteStatsTable[[#This Row],[RepsRequested]]=DiscreteStatsTable[[#This Row],[RepsWithStatObserved]],1,0)</f>
        <v>1</v>
      </c>
    </row>
    <row r="8" spans="1:25" x14ac:dyDescent="0.25">
      <c r="A8" t="s">
        <v>67</v>
      </c>
      <c r="B8" t="s">
        <v>69</v>
      </c>
      <c r="C8">
        <v>1</v>
      </c>
      <c r="D8" t="s">
        <v>73</v>
      </c>
      <c r="E8" t="s">
        <v>80</v>
      </c>
      <c r="F8" t="s">
        <v>75</v>
      </c>
      <c r="G8">
        <v>4.1783651013620604</v>
      </c>
      <c r="H8">
        <v>2E+20</v>
      </c>
      <c r="I8">
        <v>0.16053247526962899</v>
      </c>
      <c r="J8">
        <v>8.1342765533160808</v>
      </c>
      <c r="K8">
        <v>174</v>
      </c>
      <c r="L8" s="3" t="str">
        <f>DiscreteStatsTable[[#This Row],[ProjectName]]&amp;DiscreteStatsTable[[#This Row],[Name]]&amp;DiscreteStatsTable[[#This Row],[Type]]&amp;DiscreteStatsTable[[#This Row],[Source]]</f>
        <v>Unnamed ProjectJobsTotal TimeEntity</v>
      </c>
      <c r="M8" s="3" cm="1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 s="3" cm="1">
        <f t="array" ref="N8">IFERROR(AVERAGE(IF((DiscreteStatsTable[GroupByKey]=DiscreteStatsTable[[#This Row],[GroupByKey]]),(DiscreteStatsTable[GroupByKey]=DiscreteStatsTable[[#This Row],[GroupByKey]])*DiscreteStatsTable[Average])),0)</f>
        <v>4.1783651013620604</v>
      </c>
      <c r="O8" s="3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s="3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 s="3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 s="3" cm="1">
        <f t="array" ref="R8">MIN(IF((DiscreteStatsTable[GroupByKey]=DiscreteStatsTable[[#This Row],[GroupByKey]]),(DiscreteStatsTable[GroupByKey]=DiscreteStatsTable[[#This Row],[GroupByKey]])*DiscreteStatsTable[Average]))</f>
        <v>4.1783651013620604</v>
      </c>
      <c r="S8" s="3" cm="1">
        <f t="array" ref="S8">MAX(IF((DiscreteStatsTable[GroupByKey]=DiscreteStatsTable[[#This Row],[GroupByKey]]),(DiscreteStatsTable[GroupByKey]=DiscreteStatsTable[[#This Row],[GroupByKey]])*DiscreteStatsTable[Average]))</f>
        <v>4.1783651013620604</v>
      </c>
      <c r="T8" s="3" cm="1">
        <f t="array" ref="T8">MIN(IF((DiscreteStatsTable[GroupByKey]=DiscreteStatsTable[[#This Row],[GroupByKey]]),(DiscreteStatsTable[GroupByKey]=DiscreteStatsTable[[#This Row],[GroupByKey]])*DiscreteStatsTable[Minimum]))</f>
        <v>0.16053247526962899</v>
      </c>
      <c r="U8" s="3" cm="1">
        <f t="array" ref="U8">MAX(IF((DiscreteStatsTable[GroupByKey]=DiscreteStatsTable[[#This Row],[GroupByKey]]),(DiscreteStatsTable[GroupByKey]=DiscreteStatsTable[[#This Row],[GroupByKey]])*DiscreteStatsTable[Maximum]))</f>
        <v>8.1342765533160808</v>
      </c>
      <c r="V8" s="3" cm="1">
        <f t="array" ref="V8">IFERROR(AVERAGE(IF((DiscreteStatsTable[GroupByKey]=DiscreteStatsTable[[#This Row],[GroupByKey]]),(DiscreteStatsTable[GroupByKey]=DiscreteStatsTable[[#This Row],[GroupByKey]])*DiscreteStatsTable[NumberObservations])),0)</f>
        <v>174</v>
      </c>
      <c r="W8" s="3">
        <f>IF((DiscreteStatsTable[[#This Row],[RepsRequested]]&gt;1),DiscreteStatsTable[[#This Row],[HalfWidth]],DiscreteStatsTable[[#This Row],[BatchMeansHalfWidth]])</f>
        <v>2E+20</v>
      </c>
      <c r="X8" s="3" cm="1">
        <f t="array" ref="X8">COUNT(IF((DiscreteStatsTable[GroupByKey]=DiscreteStatsTable[[#This Row],[GroupByKey]]),(DiscreteStatsTable[GroupByKey]=DiscreteStatsTable[[#This Row],[GroupByKey]])*DiscreteStatsTable[Replication]))</f>
        <v>1</v>
      </c>
      <c r="Y8" s="3">
        <f>IF(DiscreteStatsTable[[#This Row],[RepsRequested]]=DiscreteStatsTable[[#This Row],[RepsWithStatObserved]],1,0)</f>
        <v>1</v>
      </c>
    </row>
    <row r="9" spans="1:25" x14ac:dyDescent="0.25">
      <c r="A9" t="s">
        <v>67</v>
      </c>
      <c r="B9" t="s">
        <v>69</v>
      </c>
      <c r="C9">
        <v>1</v>
      </c>
      <c r="D9" t="s">
        <v>73</v>
      </c>
      <c r="E9" t="s">
        <v>81</v>
      </c>
      <c r="F9" t="s">
        <v>75</v>
      </c>
      <c r="G9">
        <v>0</v>
      </c>
      <c r="H9">
        <v>2E+20</v>
      </c>
      <c r="I9">
        <v>0</v>
      </c>
      <c r="J9">
        <v>0</v>
      </c>
      <c r="K9">
        <v>174</v>
      </c>
      <c r="L9" s="3" t="str">
        <f>DiscreteStatsTable[[#This Row],[ProjectName]]&amp;DiscreteStatsTable[[#This Row],[Name]]&amp;DiscreteStatsTable[[#This Row],[Type]]&amp;DiscreteStatsTable[[#This Row],[Source]]</f>
        <v>Unnamed ProjectJobsTransfer CostEntity</v>
      </c>
      <c r="M9" s="3" cm="1">
        <f t="array" ref="M9">MAX(IF((ProjectInfoTable[ProjectName]=DiscreteStatsTable[[#This Row],[ProjectName]]),(ProjectInfoTable[ProjectName]=DiscreteStatsTable[[#This Row],[ProjectName]])*ProjectInfoTable[NumberOfReplications]))</f>
        <v>1</v>
      </c>
      <c r="N9" s="3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s="3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s="3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 s="3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9" s="3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s="3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s="3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s="3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s="3" cm="1">
        <f t="array" ref="V9">IFERROR(AVERAGE(IF((DiscreteStatsTable[GroupByKey]=DiscreteStatsTable[[#This Row],[GroupByKey]]),(DiscreteStatsTable[GroupByKey]=DiscreteStatsTable[[#This Row],[GroupByKey]])*DiscreteStatsTable[NumberObservations])),0)</f>
        <v>174</v>
      </c>
      <c r="W9" s="3">
        <f>IF((DiscreteStatsTable[[#This Row],[RepsRequested]]&gt;1),DiscreteStatsTable[[#This Row],[HalfWidth]],DiscreteStatsTable[[#This Row],[BatchMeansHalfWidth]])</f>
        <v>2E+20</v>
      </c>
      <c r="X9" s="3" cm="1">
        <f t="array" ref="X9">COUNT(IF((DiscreteStatsTable[GroupByKey]=DiscreteStatsTable[[#This Row],[GroupByKey]]),(DiscreteStatsTable[GroupByKey]=DiscreteStatsTable[[#This Row],[GroupByKey]])*DiscreteStatsTable[Replication]))</f>
        <v>1</v>
      </c>
      <c r="Y9" s="3">
        <f>IF(DiscreteStatsTable[[#This Row],[RepsRequested]]=DiscreteStatsTable[[#This Row],[RepsWithStatObserved]],1,0)</f>
        <v>1</v>
      </c>
    </row>
    <row r="10" spans="1:25" x14ac:dyDescent="0.25">
      <c r="A10" t="s">
        <v>67</v>
      </c>
      <c r="B10" t="s">
        <v>69</v>
      </c>
      <c r="C10">
        <v>1</v>
      </c>
      <c r="D10" t="s">
        <v>73</v>
      </c>
      <c r="E10" t="s">
        <v>82</v>
      </c>
      <c r="F10" t="s">
        <v>75</v>
      </c>
      <c r="G10">
        <v>0</v>
      </c>
      <c r="H10">
        <v>2E+20</v>
      </c>
      <c r="I10">
        <v>0</v>
      </c>
      <c r="J10">
        <v>0</v>
      </c>
      <c r="K10">
        <v>174</v>
      </c>
      <c r="L10" s="3" t="str">
        <f>DiscreteStatsTable[[#This Row],[ProjectName]]&amp;DiscreteStatsTable[[#This Row],[Name]]&amp;DiscreteStatsTable[[#This Row],[Type]]&amp;DiscreteStatsTable[[#This Row],[Source]]</f>
        <v>Unnamed ProjectJobsTransfer TimeEntity</v>
      </c>
      <c r="M10" s="3" cm="1">
        <f t="array" ref="M10">MAX(IF((ProjectInfoTable[ProjectName]=DiscreteStatsTable[[#This Row],[ProjectName]]),(ProjectInfoTable[ProjectName]=DiscreteStatsTable[[#This Row],[ProjectName]])*ProjectInfoTable[NumberOfReplications]))</f>
        <v>1</v>
      </c>
      <c r="N10" s="3" cm="1">
        <f t="array" ref="N10">IFERROR(AVERAGE(IF((DiscreteStatsTable[GroupByKey]=DiscreteStatsTable[[#This Row],[GroupByKey]]),(DiscreteStatsTable[GroupByKey]=DiscreteStatsTable[[#This Row],[GroupByKey]])*DiscreteStatsTable[Average])),0)</f>
        <v>0</v>
      </c>
      <c r="O10" s="3" cm="1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s="3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 s="3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0" s="3" cm="1">
        <f t="array" ref="R10">MIN(IF((DiscreteStatsTable[GroupByKey]=DiscreteStatsTable[[#This Row],[GroupByKey]]),(DiscreteStatsTable[GroupByKey]=DiscreteStatsTable[[#This Row],[GroupByKey]])*DiscreteStatsTable[Average]))</f>
        <v>0</v>
      </c>
      <c r="S10" s="3" cm="1">
        <f t="array" ref="S10">MAX(IF((DiscreteStatsTable[GroupByKey]=DiscreteStatsTable[[#This Row],[GroupByKey]]),(DiscreteStatsTable[GroupByKey]=DiscreteStatsTable[[#This Row],[GroupByKey]])*DiscreteStatsTable[Average]))</f>
        <v>0</v>
      </c>
      <c r="T10" s="3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s="3" cm="1">
        <f t="array" ref="U10">MAX(IF((DiscreteStatsTable[GroupByKey]=DiscreteStatsTable[[#This Row],[GroupByKey]]),(DiscreteStatsTable[GroupByKey]=DiscreteStatsTable[[#This Row],[GroupByKey]])*DiscreteStatsTable[Maximum]))</f>
        <v>0</v>
      </c>
      <c r="V10" s="3" cm="1">
        <f t="array" ref="V10">IFERROR(AVERAGE(IF((DiscreteStatsTable[GroupByKey]=DiscreteStatsTable[[#This Row],[GroupByKey]]),(DiscreteStatsTable[GroupByKey]=DiscreteStatsTable[[#This Row],[GroupByKey]])*DiscreteStatsTable[NumberObservations])),0)</f>
        <v>174</v>
      </c>
      <c r="W10" s="3">
        <f>IF((DiscreteStatsTable[[#This Row],[RepsRequested]]&gt;1),DiscreteStatsTable[[#This Row],[HalfWidth]],DiscreteStatsTable[[#This Row],[BatchMeansHalfWidth]])</f>
        <v>2E+20</v>
      </c>
      <c r="X10" s="3" cm="1">
        <f t="array" ref="X10">COUNT(IF((DiscreteStatsTable[GroupByKey]=DiscreteStatsTable[[#This Row],[GroupByKey]]),(DiscreteStatsTable[GroupByKey]=DiscreteStatsTable[[#This Row],[GroupByKey]])*DiscreteStatsTable[Replication]))</f>
        <v>1</v>
      </c>
      <c r="Y10" s="3">
        <f>IF(DiscreteStatsTable[[#This Row],[RepsRequested]]=DiscreteStatsTable[[#This Row],[RepsWithStatObserved]],1,0)</f>
        <v>1</v>
      </c>
    </row>
    <row r="11" spans="1:25" x14ac:dyDescent="0.25">
      <c r="A11" t="s">
        <v>67</v>
      </c>
      <c r="B11" t="s">
        <v>69</v>
      </c>
      <c r="C11">
        <v>1</v>
      </c>
      <c r="D11" t="s">
        <v>73</v>
      </c>
      <c r="E11" t="s">
        <v>83</v>
      </c>
      <c r="F11" t="s">
        <v>75</v>
      </c>
      <c r="G11">
        <v>0</v>
      </c>
      <c r="H11">
        <v>2E+20</v>
      </c>
      <c r="I11">
        <v>0</v>
      </c>
      <c r="J11">
        <v>0</v>
      </c>
      <c r="K11">
        <v>174</v>
      </c>
      <c r="L11" s="3" t="str">
        <f>DiscreteStatsTable[[#This Row],[ProjectName]]&amp;DiscreteStatsTable[[#This Row],[Name]]&amp;DiscreteStatsTable[[#This Row],[Type]]&amp;DiscreteStatsTable[[#This Row],[Source]]</f>
        <v>Unnamed ProjectJobsVA CostEntity</v>
      </c>
      <c r="M11" s="3" cm="1">
        <f t="array" ref="M11">MAX(IF((ProjectInfoTable[ProjectName]=DiscreteStatsTable[[#This Row],[ProjectName]]),(ProjectInfoTable[ProjectName]=DiscreteStatsTable[[#This Row],[ProjectName]])*ProjectInfoTable[NumberOfReplications]))</f>
        <v>1</v>
      </c>
      <c r="N11" s="3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s="3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s="3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 s="3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1" s="3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s="3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s="3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s="3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s="3" cm="1">
        <f t="array" ref="V11">IFERROR(AVERAGE(IF((DiscreteStatsTable[GroupByKey]=DiscreteStatsTable[[#This Row],[GroupByKey]]),(DiscreteStatsTable[GroupByKey]=DiscreteStatsTable[[#This Row],[GroupByKey]])*DiscreteStatsTable[NumberObservations])),0)</f>
        <v>174</v>
      </c>
      <c r="W11" s="3">
        <f>IF((DiscreteStatsTable[[#This Row],[RepsRequested]]&gt;1),DiscreteStatsTable[[#This Row],[HalfWidth]],DiscreteStatsTable[[#This Row],[BatchMeansHalfWidth]])</f>
        <v>2E+20</v>
      </c>
      <c r="X11" s="3" cm="1">
        <f t="array" ref="X11">COUNT(IF((DiscreteStatsTable[GroupByKey]=DiscreteStatsTable[[#This Row],[GroupByKey]]),(DiscreteStatsTable[GroupByKey]=DiscreteStatsTable[[#This Row],[GroupByKey]])*DiscreteStatsTable[Replication]))</f>
        <v>1</v>
      </c>
      <c r="Y11" s="3">
        <f>IF(DiscreteStatsTable[[#This Row],[RepsRequested]]=DiscreteStatsTable[[#This Row],[RepsWithStatObserved]],1,0)</f>
        <v>1</v>
      </c>
    </row>
    <row r="12" spans="1:25" x14ac:dyDescent="0.25">
      <c r="A12" t="s">
        <v>67</v>
      </c>
      <c r="B12" t="s">
        <v>69</v>
      </c>
      <c r="C12">
        <v>1</v>
      </c>
      <c r="D12" t="s">
        <v>73</v>
      </c>
      <c r="E12" t="s">
        <v>84</v>
      </c>
      <c r="F12" t="s">
        <v>75</v>
      </c>
      <c r="G12">
        <v>0.153330622201063</v>
      </c>
      <c r="H12">
        <v>2E+20</v>
      </c>
      <c r="I12">
        <v>9.7454943679666797E-2</v>
      </c>
      <c r="J12">
        <v>0.20887623858259199</v>
      </c>
      <c r="K12">
        <v>174</v>
      </c>
      <c r="L12" t="str">
        <f>DiscreteStatsTable[[#This Row],[ProjectName]]&amp;DiscreteStatsTable[[#This Row],[Name]]&amp;DiscreteStatsTable[[#This Row],[Type]]&amp;DiscreteStatsTable[[#This Row],[Source]]</f>
        <v>Unnamed ProjectJobsVA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1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0.153330622201063</v>
      </c>
      <c r="O12" s="3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s="3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 s="3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2" s="3" cm="1">
        <f t="array" ref="R12">MIN(IF((DiscreteStatsTable[GroupByKey]=DiscreteStatsTable[[#This Row],[GroupByKey]]),(DiscreteStatsTable[GroupByKey]=DiscreteStatsTable[[#This Row],[GroupByKey]])*DiscreteStatsTable[Average]))</f>
        <v>0.153330622201063</v>
      </c>
      <c r="S12" s="3" cm="1">
        <f t="array" ref="S12">MAX(IF((DiscreteStatsTable[GroupByKey]=DiscreteStatsTable[[#This Row],[GroupByKey]]),(DiscreteStatsTable[GroupByKey]=DiscreteStatsTable[[#This Row],[GroupByKey]])*DiscreteStatsTable[Average]))</f>
        <v>0.153330622201063</v>
      </c>
      <c r="T12" s="3" cm="1">
        <f t="array" ref="T12">MIN(IF((DiscreteStatsTable[GroupByKey]=DiscreteStatsTable[[#This Row],[GroupByKey]]),(DiscreteStatsTable[GroupByKey]=DiscreteStatsTable[[#This Row],[GroupByKey]])*DiscreteStatsTable[Minimum]))</f>
        <v>9.7454943679666797E-2</v>
      </c>
      <c r="U12" s="3" cm="1">
        <f t="array" ref="U12">MAX(IF((DiscreteStatsTable[GroupByKey]=DiscreteStatsTable[[#This Row],[GroupByKey]]),(DiscreteStatsTable[GroupByKey]=DiscreteStatsTable[[#This Row],[GroupByKey]])*DiscreteStatsTable[Maximum]))</f>
        <v>0.20887623858259199</v>
      </c>
      <c r="V12" s="3" cm="1">
        <f t="array" ref="V12">IFERROR(AVERAGE(IF((DiscreteStatsTable[GroupByKey]=DiscreteStatsTable[[#This Row],[GroupByKey]]),(DiscreteStatsTable[GroupByKey]=DiscreteStatsTable[[#This Row],[GroupByKey]])*DiscreteStatsTable[NumberObservations])),0)</f>
        <v>174</v>
      </c>
      <c r="W12" s="3">
        <f>IF((DiscreteStatsTable[[#This Row],[RepsRequested]]&gt;1),DiscreteStatsTable[[#This Row],[HalfWidth]],DiscreteStatsTable[[#This Row],[BatchMeansHalfWidth]])</f>
        <v>2E+20</v>
      </c>
      <c r="X12" s="3" cm="1">
        <f t="array" ref="X12">COUNT(IF((DiscreteStatsTable[GroupByKey]=DiscreteStatsTable[[#This Row],[GroupByKey]]),(DiscreteStatsTable[GroupByKey]=DiscreteStatsTable[[#This Row],[GroupByKey]])*DiscreteStatsTable[Replication]))</f>
        <v>1</v>
      </c>
      <c r="Y12" s="3">
        <f>IF(DiscreteStatsTable[[#This Row],[RepsRequested]]=DiscreteStatsTable[[#This Row],[RepsWithStatObserved]],1,0)</f>
        <v>1</v>
      </c>
    </row>
    <row r="13" spans="1:25" x14ac:dyDescent="0.25">
      <c r="A13" t="s">
        <v>67</v>
      </c>
      <c r="B13" t="s">
        <v>69</v>
      </c>
      <c r="C13">
        <v>1</v>
      </c>
      <c r="D13" t="s">
        <v>73</v>
      </c>
      <c r="E13" t="s">
        <v>85</v>
      </c>
      <c r="F13" t="s">
        <v>75</v>
      </c>
      <c r="G13">
        <v>0</v>
      </c>
      <c r="H13">
        <v>2E+20</v>
      </c>
      <c r="I13">
        <v>0</v>
      </c>
      <c r="J13">
        <v>0</v>
      </c>
      <c r="K13">
        <v>174</v>
      </c>
      <c r="L13" t="str">
        <f>DiscreteStatsTable[[#This Row],[ProjectName]]&amp;DiscreteStatsTable[[#This Row],[Name]]&amp;DiscreteStatsTable[[#This Row],[Type]]&amp;DiscreteStatsTable[[#This Row],[Source]]</f>
        <v>Unnamed ProjectJobsWait CostEntity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1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</v>
      </c>
      <c r="O13" s="3" cm="1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 s="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 s="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3" s="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s="3" cm="1">
        <f t="array" ref="S13">MAX(IF((DiscreteStatsTable[GroupByKey]=DiscreteStatsTable[[#This Row],[GroupByKey]]),(DiscreteStatsTable[GroupByKey]=DiscreteStatsTable[[#This Row],[GroupByKey]])*DiscreteStatsTable[Average]))</f>
        <v>0</v>
      </c>
      <c r="T13" s="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s="3" cm="1">
        <f t="array" ref="U13">MAX(IF((DiscreteStatsTable[GroupByKey]=DiscreteStatsTable[[#This Row],[GroupByKey]]),(DiscreteStatsTable[GroupByKey]=DiscreteStatsTable[[#This Row],[GroupByKey]])*DiscreteStatsTable[Maximum]))</f>
        <v>0</v>
      </c>
      <c r="V13" s="3" cm="1">
        <f t="array" ref="V13">IFERROR(AVERAGE(IF((DiscreteStatsTable[GroupByKey]=DiscreteStatsTable[[#This Row],[GroupByKey]]),(DiscreteStatsTable[GroupByKey]=DiscreteStatsTable[[#This Row],[GroupByKey]])*DiscreteStatsTable[NumberObservations])),0)</f>
        <v>174</v>
      </c>
      <c r="W13" s="3">
        <f>IF((DiscreteStatsTable[[#This Row],[RepsRequested]]&gt;1),DiscreteStatsTable[[#This Row],[HalfWidth]],DiscreteStatsTable[[#This Row],[BatchMeansHalfWidth]])</f>
        <v>2E+20</v>
      </c>
      <c r="X13" s="3" cm="1">
        <f t="array" ref="X13">COUNT(IF((DiscreteStatsTable[GroupByKey]=DiscreteStatsTable[[#This Row],[GroupByKey]]),(DiscreteStatsTable[GroupByKey]=DiscreteStatsTable[[#This Row],[GroupByKey]])*DiscreteStatsTable[Replication]))</f>
        <v>1</v>
      </c>
      <c r="Y13" s="3">
        <f>IF(DiscreteStatsTable[[#This Row],[RepsRequested]]=DiscreteStatsTable[[#This Row],[RepsWithStatObserved]],1,0)</f>
        <v>1</v>
      </c>
    </row>
    <row r="14" spans="1:25" x14ac:dyDescent="0.25">
      <c r="A14" t="s">
        <v>67</v>
      </c>
      <c r="B14" t="s">
        <v>69</v>
      </c>
      <c r="C14">
        <v>1</v>
      </c>
      <c r="D14" t="s">
        <v>73</v>
      </c>
      <c r="E14" t="s">
        <v>86</v>
      </c>
      <c r="F14" t="s">
        <v>75</v>
      </c>
      <c r="G14">
        <v>4.0250344791610004</v>
      </c>
      <c r="H14">
        <v>2E+20</v>
      </c>
      <c r="I14">
        <v>0</v>
      </c>
      <c r="J14">
        <v>8.0026910951656092</v>
      </c>
      <c r="K14">
        <v>174</v>
      </c>
      <c r="L14" t="str">
        <f>DiscreteStatsTable[[#This Row],[ProjectName]]&amp;DiscreteStatsTable[[#This Row],[Name]]&amp;DiscreteStatsTable[[#This Row],[Type]]&amp;DiscreteStatsTable[[#This Row],[Source]]</f>
        <v>Unnamed ProjectJobsWait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1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4.0250344791610004</v>
      </c>
      <c r="O14" s="3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s="3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 s="3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4" s="3" cm="1">
        <f t="array" ref="R14">MIN(IF((DiscreteStatsTable[GroupByKey]=DiscreteStatsTable[[#This Row],[GroupByKey]]),(DiscreteStatsTable[GroupByKey]=DiscreteStatsTable[[#This Row],[GroupByKey]])*DiscreteStatsTable[Average]))</f>
        <v>4.0250344791610004</v>
      </c>
      <c r="S14" s="3" cm="1">
        <f t="array" ref="S14">MAX(IF((DiscreteStatsTable[GroupByKey]=DiscreteStatsTable[[#This Row],[GroupByKey]]),(DiscreteStatsTable[GroupByKey]=DiscreteStatsTable[[#This Row],[GroupByKey]])*DiscreteStatsTable[Average]))</f>
        <v>4.0250344791610004</v>
      </c>
      <c r="T14" s="3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s="3" cm="1">
        <f t="array" ref="U14">MAX(IF((DiscreteStatsTable[GroupByKey]=DiscreteStatsTable[[#This Row],[GroupByKey]]),(DiscreteStatsTable[GroupByKey]=DiscreteStatsTable[[#This Row],[GroupByKey]])*DiscreteStatsTable[Maximum]))</f>
        <v>8.0026910951656092</v>
      </c>
      <c r="V14" s="3" cm="1">
        <f t="array" ref="V14">IFERROR(AVERAGE(IF((DiscreteStatsTable[GroupByKey]=DiscreteStatsTable[[#This Row],[GroupByKey]]),(DiscreteStatsTable[GroupByKey]=DiscreteStatsTable[[#This Row],[GroupByKey]])*DiscreteStatsTable[NumberObservations])),0)</f>
        <v>174</v>
      </c>
      <c r="W14" s="3">
        <f>IF((DiscreteStatsTable[[#This Row],[RepsRequested]]&gt;1),DiscreteStatsTable[[#This Row],[HalfWidth]],DiscreteStatsTable[[#This Row],[BatchMeansHalfWidth]])</f>
        <v>2E+20</v>
      </c>
      <c r="X14" s="3" cm="1">
        <f t="array" ref="X14">COUNT(IF((DiscreteStatsTable[GroupByKey]=DiscreteStatsTable[[#This Row],[GroupByKey]]),(DiscreteStatsTable[GroupByKey]=DiscreteStatsTable[[#This Row],[GroupByKey]])*DiscreteStatsTable[Replication]))</f>
        <v>1</v>
      </c>
      <c r="Y14" s="3">
        <f>IF(DiscreteStatsTable[[#This Row],[RepsRequested]]=DiscreteStatsTable[[#This Row],[RepsWithStatObserved]],1,0)</f>
        <v>1</v>
      </c>
    </row>
    <row r="15" spans="1:25" x14ac:dyDescent="0.25">
      <c r="A15" t="s">
        <v>67</v>
      </c>
      <c r="B15" t="s">
        <v>69</v>
      </c>
      <c r="C15">
        <v>1</v>
      </c>
      <c r="D15" t="s">
        <v>87</v>
      </c>
      <c r="E15" t="s">
        <v>88</v>
      </c>
      <c r="F15" t="s">
        <v>89</v>
      </c>
      <c r="G15">
        <v>0</v>
      </c>
      <c r="H15">
        <v>2E+20</v>
      </c>
      <c r="I15">
        <v>0</v>
      </c>
      <c r="J15">
        <v>0</v>
      </c>
      <c r="K15">
        <v>174</v>
      </c>
      <c r="L15" t="str">
        <f>DiscreteStatsTable[[#This Row],[ProjectName]]&amp;DiscreteStatsTable[[#This Row],[Name]]&amp;DiscreteStatsTable[[#This Row],[Type]]&amp;DiscreteStatsTable[[#This Row],[Source]]</f>
        <v>Unnamed ProjectLlegadaTotal Cost Per EntityProcess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1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s="3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s="3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 s="3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5" s="3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s="3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s="3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s="3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s="3" cm="1">
        <f t="array" ref="V15">IFERROR(AVERAGE(IF((DiscreteStatsTable[GroupByKey]=DiscreteStatsTable[[#This Row],[GroupByKey]]),(DiscreteStatsTable[GroupByKey]=DiscreteStatsTable[[#This Row],[GroupByKey]])*DiscreteStatsTable[NumberObservations])),0)</f>
        <v>174</v>
      </c>
      <c r="W15" s="3">
        <f>IF((DiscreteStatsTable[[#This Row],[RepsRequested]]&gt;1),DiscreteStatsTable[[#This Row],[HalfWidth]],DiscreteStatsTable[[#This Row],[BatchMeansHalfWidth]])</f>
        <v>2E+20</v>
      </c>
      <c r="X15" s="3" cm="1">
        <f t="array" ref="X15">COUNT(IF((DiscreteStatsTable[GroupByKey]=DiscreteStatsTable[[#This Row],[GroupByKey]]),(DiscreteStatsTable[GroupByKey]=DiscreteStatsTable[[#This Row],[GroupByKey]])*DiscreteStatsTable[Replication]))</f>
        <v>1</v>
      </c>
      <c r="Y15" s="3">
        <f>IF(DiscreteStatsTable[[#This Row],[RepsRequested]]=DiscreteStatsTable[[#This Row],[RepsWithStatObserved]],1,0)</f>
        <v>1</v>
      </c>
    </row>
    <row r="16" spans="1:25" x14ac:dyDescent="0.25">
      <c r="A16" t="s">
        <v>67</v>
      </c>
      <c r="B16" t="s">
        <v>69</v>
      </c>
      <c r="C16">
        <v>1</v>
      </c>
      <c r="D16" t="s">
        <v>87</v>
      </c>
      <c r="E16" t="s">
        <v>90</v>
      </c>
      <c r="F16" t="s">
        <v>89</v>
      </c>
      <c r="G16">
        <v>4.0405689027779896</v>
      </c>
      <c r="H16">
        <v>2E+20</v>
      </c>
      <c r="I16">
        <v>4.5960180338552301E-2</v>
      </c>
      <c r="J16">
        <v>8.0082337186974097</v>
      </c>
      <c r="K16">
        <v>174</v>
      </c>
      <c r="L16" t="str">
        <f>DiscreteStatsTable[[#This Row],[ProjectName]]&amp;DiscreteStatsTable[[#This Row],[Name]]&amp;DiscreteStatsTable[[#This Row],[Type]]&amp;DiscreteStatsTable[[#This Row],[Source]]</f>
        <v>Unnamed ProjectLlegadaTotal Time Per EntityProcess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1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4.0405689027779896</v>
      </c>
      <c r="O16" s="3" cm="1">
        <f t="array" ref="O16">IFERROR(_xlfn.STDEV.S(IF((DiscreteStatsTable[GroupByKey]=DiscreteStatsTable[[#This Row],[GroupByKey]]),(DiscreteStatsTable[GroupByKey]=DiscreteStatsTable[[#This Row],[GroupByKey]])*DiscreteStatsTable[Average])),0)</f>
        <v>0</v>
      </c>
      <c r="P16" s="3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 s="3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6" s="3" cm="1">
        <f t="array" ref="R16">MIN(IF((DiscreteStatsTable[GroupByKey]=DiscreteStatsTable[[#This Row],[GroupByKey]]),(DiscreteStatsTable[GroupByKey]=DiscreteStatsTable[[#This Row],[GroupByKey]])*DiscreteStatsTable[Average]))</f>
        <v>4.0405689027779896</v>
      </c>
      <c r="S16" s="3" cm="1">
        <f t="array" ref="S16">MAX(IF((DiscreteStatsTable[GroupByKey]=DiscreteStatsTable[[#This Row],[GroupByKey]]),(DiscreteStatsTable[GroupByKey]=DiscreteStatsTable[[#This Row],[GroupByKey]])*DiscreteStatsTable[Average]))</f>
        <v>4.0405689027779896</v>
      </c>
      <c r="T16" s="3" cm="1">
        <f t="array" ref="T16">MIN(IF((DiscreteStatsTable[GroupByKey]=DiscreteStatsTable[[#This Row],[GroupByKey]]),(DiscreteStatsTable[GroupByKey]=DiscreteStatsTable[[#This Row],[GroupByKey]])*DiscreteStatsTable[Minimum]))</f>
        <v>4.5960180338552301E-2</v>
      </c>
      <c r="U16" s="3" cm="1">
        <f t="array" ref="U16">MAX(IF((DiscreteStatsTable[GroupByKey]=DiscreteStatsTable[[#This Row],[GroupByKey]]),(DiscreteStatsTable[GroupByKey]=DiscreteStatsTable[[#This Row],[GroupByKey]])*DiscreteStatsTable[Maximum]))</f>
        <v>8.0082337186974097</v>
      </c>
      <c r="V16" s="3" cm="1">
        <f t="array" ref="V16">IFERROR(AVERAGE(IF((DiscreteStatsTable[GroupByKey]=DiscreteStatsTable[[#This Row],[GroupByKey]]),(DiscreteStatsTable[GroupByKey]=DiscreteStatsTable[[#This Row],[GroupByKey]])*DiscreteStatsTable[NumberObservations])),0)</f>
        <v>174</v>
      </c>
      <c r="W16" s="3">
        <f>IF((DiscreteStatsTable[[#This Row],[RepsRequested]]&gt;1),DiscreteStatsTable[[#This Row],[HalfWidth]],DiscreteStatsTable[[#This Row],[BatchMeansHalfWidth]])</f>
        <v>2E+20</v>
      </c>
      <c r="X16" s="3" cm="1">
        <f t="array" ref="X16">COUNT(IF((DiscreteStatsTable[GroupByKey]=DiscreteStatsTable[[#This Row],[GroupByKey]]),(DiscreteStatsTable[GroupByKey]=DiscreteStatsTable[[#This Row],[GroupByKey]])*DiscreteStatsTable[Replication]))</f>
        <v>1</v>
      </c>
      <c r="Y16" s="3">
        <f>IF(DiscreteStatsTable[[#This Row],[RepsRequested]]=DiscreteStatsTable[[#This Row],[RepsWithStatObserved]],1,0)</f>
        <v>1</v>
      </c>
    </row>
    <row r="17" spans="1:25" x14ac:dyDescent="0.25">
      <c r="A17" t="s">
        <v>67</v>
      </c>
      <c r="B17" t="s">
        <v>69</v>
      </c>
      <c r="C17">
        <v>1</v>
      </c>
      <c r="D17" t="s">
        <v>87</v>
      </c>
      <c r="E17" t="s">
        <v>91</v>
      </c>
      <c r="F17" t="s">
        <v>89</v>
      </c>
      <c r="G17">
        <v>0</v>
      </c>
      <c r="H17">
        <v>2E+20</v>
      </c>
      <c r="I17">
        <v>0</v>
      </c>
      <c r="J17">
        <v>0</v>
      </c>
      <c r="K17">
        <v>174</v>
      </c>
      <c r="L17" t="str">
        <f>DiscreteStatsTable[[#This Row],[ProjectName]]&amp;DiscreteStatsTable[[#This Row],[Name]]&amp;DiscreteStatsTable[[#This Row],[Type]]&amp;DiscreteStatsTable[[#This Row],[Source]]</f>
        <v>Unnamed ProjectLlegadaVA Cost Per EntityProcess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1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</v>
      </c>
      <c r="O17" s="3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s="3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 s="3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7" s="3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s="3" cm="1">
        <f t="array" ref="S17">MAX(IF((DiscreteStatsTable[GroupByKey]=DiscreteStatsTable[[#This Row],[GroupByKey]]),(DiscreteStatsTable[GroupByKey]=DiscreteStatsTable[[#This Row],[GroupByKey]])*DiscreteStatsTable[Average]))</f>
        <v>0</v>
      </c>
      <c r="T17" s="3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s="3" cm="1">
        <f t="array" ref="U17">MAX(IF((DiscreteStatsTable[GroupByKey]=DiscreteStatsTable[[#This Row],[GroupByKey]]),(DiscreteStatsTable[GroupByKey]=DiscreteStatsTable[[#This Row],[GroupByKey]])*DiscreteStatsTable[Maximum]))</f>
        <v>0</v>
      </c>
      <c r="V17" s="3" cm="1">
        <f t="array" ref="V17">IFERROR(AVERAGE(IF((DiscreteStatsTable[GroupByKey]=DiscreteStatsTable[[#This Row],[GroupByKey]]),(DiscreteStatsTable[GroupByKey]=DiscreteStatsTable[[#This Row],[GroupByKey]])*DiscreteStatsTable[NumberObservations])),0)</f>
        <v>174</v>
      </c>
      <c r="W17" s="3">
        <f>IF((DiscreteStatsTable[[#This Row],[RepsRequested]]&gt;1),DiscreteStatsTable[[#This Row],[HalfWidth]],DiscreteStatsTable[[#This Row],[BatchMeansHalfWidth]])</f>
        <v>2E+20</v>
      </c>
      <c r="X17" s="3" cm="1">
        <f t="array" ref="X17">COUNT(IF((DiscreteStatsTable[GroupByKey]=DiscreteStatsTable[[#This Row],[GroupByKey]]),(DiscreteStatsTable[GroupByKey]=DiscreteStatsTable[[#This Row],[GroupByKey]])*DiscreteStatsTable[Replication]))</f>
        <v>1</v>
      </c>
      <c r="Y17" s="3">
        <f>IF(DiscreteStatsTable[[#This Row],[RepsRequested]]=DiscreteStatsTable[[#This Row],[RepsWithStatObserved]],1,0)</f>
        <v>1</v>
      </c>
    </row>
    <row r="18" spans="1:25" x14ac:dyDescent="0.25">
      <c r="A18" t="s">
        <v>67</v>
      </c>
      <c r="B18" t="s">
        <v>69</v>
      </c>
      <c r="C18">
        <v>1</v>
      </c>
      <c r="D18" t="s">
        <v>87</v>
      </c>
      <c r="E18" t="s">
        <v>92</v>
      </c>
      <c r="F18" t="s">
        <v>89</v>
      </c>
      <c r="G18">
        <v>5.4961588300001099E-2</v>
      </c>
      <c r="H18">
        <v>2E+20</v>
      </c>
      <c r="I18">
        <v>2.5180612208651101E-2</v>
      </c>
      <c r="J18">
        <v>8.3179379200521805E-2</v>
      </c>
      <c r="K18">
        <v>174</v>
      </c>
      <c r="L18" t="str">
        <f>DiscreteStatsTable[[#This Row],[ProjectName]]&amp;DiscreteStatsTable[[#This Row],[Name]]&amp;DiscreteStatsTable[[#This Row],[Type]]&amp;DiscreteStatsTable[[#This Row],[Source]]</f>
        <v>Unnamed ProjectLlegadaVA Time Per EntityProcess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1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5.4961588300001099E-2</v>
      </c>
      <c r="O18" s="3" cm="1">
        <f t="array" ref="O18">IFERROR(_xlfn.STDEV.S(IF((DiscreteStatsTable[GroupByKey]=DiscreteStatsTable[[#This Row],[GroupByKey]]),(DiscreteStatsTable[GroupByKey]=DiscreteStatsTable[[#This Row],[GroupByKey]])*DiscreteStatsTable[Average])),0)</f>
        <v>0</v>
      </c>
      <c r="P18" s="3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 s="3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8" s="3" cm="1">
        <f t="array" ref="R18">MIN(IF((DiscreteStatsTable[GroupByKey]=DiscreteStatsTable[[#This Row],[GroupByKey]]),(DiscreteStatsTable[GroupByKey]=DiscreteStatsTable[[#This Row],[GroupByKey]])*DiscreteStatsTable[Average]))</f>
        <v>5.4961588300001099E-2</v>
      </c>
      <c r="S18" s="3" cm="1">
        <f t="array" ref="S18">MAX(IF((DiscreteStatsTable[GroupByKey]=DiscreteStatsTable[[#This Row],[GroupByKey]]),(DiscreteStatsTable[GroupByKey]=DiscreteStatsTable[[#This Row],[GroupByKey]])*DiscreteStatsTable[Average]))</f>
        <v>5.4961588300001099E-2</v>
      </c>
      <c r="T18" s="3" cm="1">
        <f t="array" ref="T18">MIN(IF((DiscreteStatsTable[GroupByKey]=DiscreteStatsTable[[#This Row],[GroupByKey]]),(DiscreteStatsTable[GroupByKey]=DiscreteStatsTable[[#This Row],[GroupByKey]])*DiscreteStatsTable[Minimum]))</f>
        <v>2.5180612208651101E-2</v>
      </c>
      <c r="U18" s="3" cm="1">
        <f t="array" ref="U18">MAX(IF((DiscreteStatsTable[GroupByKey]=DiscreteStatsTable[[#This Row],[GroupByKey]]),(DiscreteStatsTable[GroupByKey]=DiscreteStatsTable[[#This Row],[GroupByKey]])*DiscreteStatsTable[Maximum]))</f>
        <v>8.3179379200521805E-2</v>
      </c>
      <c r="V18" s="3" cm="1">
        <f t="array" ref="V18">IFERROR(AVERAGE(IF((DiscreteStatsTable[GroupByKey]=DiscreteStatsTable[[#This Row],[GroupByKey]]),(DiscreteStatsTable[GroupByKey]=DiscreteStatsTable[[#This Row],[GroupByKey]])*DiscreteStatsTable[NumberObservations])),0)</f>
        <v>174</v>
      </c>
      <c r="W18" s="3">
        <f>IF((DiscreteStatsTable[[#This Row],[RepsRequested]]&gt;1),DiscreteStatsTable[[#This Row],[HalfWidth]],DiscreteStatsTable[[#This Row],[BatchMeansHalfWidth]])</f>
        <v>2E+20</v>
      </c>
      <c r="X18" s="3" cm="1">
        <f t="array" ref="X18">COUNT(IF((DiscreteStatsTable[GroupByKey]=DiscreteStatsTable[[#This Row],[GroupByKey]]),(DiscreteStatsTable[GroupByKey]=DiscreteStatsTable[[#This Row],[GroupByKey]])*DiscreteStatsTable[Replication]))</f>
        <v>1</v>
      </c>
      <c r="Y18" s="3">
        <f>IF(DiscreteStatsTable[[#This Row],[RepsRequested]]=DiscreteStatsTable[[#This Row],[RepsWithStatObserved]],1,0)</f>
        <v>1</v>
      </c>
    </row>
    <row r="19" spans="1:25" x14ac:dyDescent="0.25">
      <c r="A19" t="s">
        <v>67</v>
      </c>
      <c r="B19" t="s">
        <v>69</v>
      </c>
      <c r="C19">
        <v>1</v>
      </c>
      <c r="D19" t="s">
        <v>87</v>
      </c>
      <c r="E19" t="s">
        <v>93</v>
      </c>
      <c r="F19" t="s">
        <v>89</v>
      </c>
      <c r="G19">
        <v>0</v>
      </c>
      <c r="H19">
        <v>2E+20</v>
      </c>
      <c r="I19">
        <v>0</v>
      </c>
      <c r="J19">
        <v>0</v>
      </c>
      <c r="K19">
        <v>174</v>
      </c>
      <c r="L19" t="str">
        <f>DiscreteStatsTable[[#This Row],[ProjectName]]&amp;DiscreteStatsTable[[#This Row],[Name]]&amp;DiscreteStatsTable[[#This Row],[Type]]&amp;DiscreteStatsTable[[#This Row],[Source]]</f>
        <v>Unnamed ProjectLlegadaWait Cost Per EntityProcess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1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0</v>
      </c>
      <c r="O19" s="3" cm="1">
        <f t="array" ref="O19">IFERROR(_xlfn.STDEV.S(IF((DiscreteStatsTable[GroupByKey]=DiscreteStatsTable[[#This Row],[GroupByKey]]),(DiscreteStatsTable[GroupByKey]=DiscreteStatsTable[[#This Row],[GroupByKey]])*DiscreteStatsTable[Average])),0)</f>
        <v>0</v>
      </c>
      <c r="P19" s="3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 s="3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9" s="3" cm="1">
        <f t="array" ref="R19">MIN(IF((DiscreteStatsTable[GroupByKey]=DiscreteStatsTable[[#This Row],[GroupByKey]]),(DiscreteStatsTable[GroupByKey]=DiscreteStatsTable[[#This Row],[GroupByKey]])*DiscreteStatsTable[Average]))</f>
        <v>0</v>
      </c>
      <c r="S19" s="3" cm="1">
        <f t="array" ref="S19">MAX(IF((DiscreteStatsTable[GroupByKey]=DiscreteStatsTable[[#This Row],[GroupByKey]]),(DiscreteStatsTable[GroupByKey]=DiscreteStatsTable[[#This Row],[GroupByKey]])*DiscreteStatsTable[Average]))</f>
        <v>0</v>
      </c>
      <c r="T19" s="3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s="3" cm="1">
        <f t="array" ref="U19">MAX(IF((DiscreteStatsTable[GroupByKey]=DiscreteStatsTable[[#This Row],[GroupByKey]]),(DiscreteStatsTable[GroupByKey]=DiscreteStatsTable[[#This Row],[GroupByKey]])*DiscreteStatsTable[Maximum]))</f>
        <v>0</v>
      </c>
      <c r="V19" s="3" cm="1">
        <f t="array" ref="V19">IFERROR(AVERAGE(IF((DiscreteStatsTable[GroupByKey]=DiscreteStatsTable[[#This Row],[GroupByKey]]),(DiscreteStatsTable[GroupByKey]=DiscreteStatsTable[[#This Row],[GroupByKey]])*DiscreteStatsTable[NumberObservations])),0)</f>
        <v>174</v>
      </c>
      <c r="W19" s="3">
        <f>IF((DiscreteStatsTable[[#This Row],[RepsRequested]]&gt;1),DiscreteStatsTable[[#This Row],[HalfWidth]],DiscreteStatsTable[[#This Row],[BatchMeansHalfWidth]])</f>
        <v>2E+20</v>
      </c>
      <c r="X19" s="3" cm="1">
        <f t="array" ref="X19">COUNT(IF((DiscreteStatsTable[GroupByKey]=DiscreteStatsTable[[#This Row],[GroupByKey]]),(DiscreteStatsTable[GroupByKey]=DiscreteStatsTable[[#This Row],[GroupByKey]])*DiscreteStatsTable[Replication]))</f>
        <v>1</v>
      </c>
      <c r="Y19" s="3">
        <f>IF(DiscreteStatsTable[[#This Row],[RepsRequested]]=DiscreteStatsTable[[#This Row],[RepsWithStatObserved]],1,0)</f>
        <v>1</v>
      </c>
    </row>
    <row r="20" spans="1:25" x14ac:dyDescent="0.25">
      <c r="A20" t="s">
        <v>67</v>
      </c>
      <c r="B20" t="s">
        <v>69</v>
      </c>
      <c r="C20">
        <v>1</v>
      </c>
      <c r="D20" t="s">
        <v>87</v>
      </c>
      <c r="E20" t="s">
        <v>94</v>
      </c>
      <c r="F20" t="s">
        <v>89</v>
      </c>
      <c r="G20">
        <v>3.9856073144779902</v>
      </c>
      <c r="H20">
        <v>2E+20</v>
      </c>
      <c r="I20">
        <v>0</v>
      </c>
      <c r="J20">
        <v>7.9513431978737303</v>
      </c>
      <c r="K20">
        <v>174</v>
      </c>
      <c r="L20" t="str">
        <f>DiscreteStatsTable[[#This Row],[ProjectName]]&amp;DiscreteStatsTable[[#This Row],[Name]]&amp;DiscreteStatsTable[[#This Row],[Type]]&amp;DiscreteStatsTable[[#This Row],[Source]]</f>
        <v>Unnamed ProjectLlegadaWait Time Per EntityProcess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1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3.9856073144779902</v>
      </c>
      <c r="O20" s="3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s="3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 s="3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0" s="3" cm="1">
        <f t="array" ref="R20">MIN(IF((DiscreteStatsTable[GroupByKey]=DiscreteStatsTable[[#This Row],[GroupByKey]]),(DiscreteStatsTable[GroupByKey]=DiscreteStatsTable[[#This Row],[GroupByKey]])*DiscreteStatsTable[Average]))</f>
        <v>3.9856073144779902</v>
      </c>
      <c r="S20" s="3" cm="1">
        <f t="array" ref="S20">MAX(IF((DiscreteStatsTable[GroupByKey]=DiscreteStatsTable[[#This Row],[GroupByKey]]),(DiscreteStatsTable[GroupByKey]=DiscreteStatsTable[[#This Row],[GroupByKey]])*DiscreteStatsTable[Average]))</f>
        <v>3.9856073144779902</v>
      </c>
      <c r="T20" s="3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s="3" cm="1">
        <f t="array" ref="U20">MAX(IF((DiscreteStatsTable[GroupByKey]=DiscreteStatsTable[[#This Row],[GroupByKey]]),(DiscreteStatsTable[GroupByKey]=DiscreteStatsTable[[#This Row],[GroupByKey]])*DiscreteStatsTable[Maximum]))</f>
        <v>7.9513431978737303</v>
      </c>
      <c r="V20" s="3" cm="1">
        <f t="array" ref="V20">IFERROR(AVERAGE(IF((DiscreteStatsTable[GroupByKey]=DiscreteStatsTable[[#This Row],[GroupByKey]]),(DiscreteStatsTable[GroupByKey]=DiscreteStatsTable[[#This Row],[GroupByKey]])*DiscreteStatsTable[NumberObservations])),0)</f>
        <v>174</v>
      </c>
      <c r="W20" s="3">
        <f>IF((DiscreteStatsTable[[#This Row],[RepsRequested]]&gt;1),DiscreteStatsTable[[#This Row],[HalfWidth]],DiscreteStatsTable[[#This Row],[BatchMeansHalfWidth]])</f>
        <v>2E+20</v>
      </c>
      <c r="X20" s="3" cm="1">
        <f t="array" ref="X20">COUNT(IF((DiscreteStatsTable[GroupByKey]=DiscreteStatsTable[[#This Row],[GroupByKey]]),(DiscreteStatsTable[GroupByKey]=DiscreteStatsTable[[#This Row],[GroupByKey]])*DiscreteStatsTable[Replication]))</f>
        <v>1</v>
      </c>
      <c r="Y20" s="3">
        <f>IF(DiscreteStatsTable[[#This Row],[RepsRequested]]=DiscreteStatsTable[[#This Row],[RepsWithStatObserved]],1,0)</f>
        <v>1</v>
      </c>
    </row>
    <row r="21" spans="1:25" x14ac:dyDescent="0.25">
      <c r="A21" t="s">
        <v>67</v>
      </c>
      <c r="B21" t="s">
        <v>69</v>
      </c>
      <c r="C21">
        <v>1</v>
      </c>
      <c r="D21" t="s">
        <v>95</v>
      </c>
      <c r="E21" t="s">
        <v>96</v>
      </c>
      <c r="F21" t="s">
        <v>97</v>
      </c>
      <c r="G21">
        <v>0</v>
      </c>
      <c r="H21">
        <v>2E+20</v>
      </c>
      <c r="I21">
        <v>0</v>
      </c>
      <c r="J21">
        <v>0</v>
      </c>
      <c r="K21">
        <v>174</v>
      </c>
      <c r="L21" t="str">
        <f>DiscreteStatsTable[[#This Row],[ProjectName]]&amp;DiscreteStatsTable[[#This Row],[Name]]&amp;DiscreteStatsTable[[#This Row],[Type]]&amp;DiscreteStatsTable[[#This Row],[Source]]</f>
        <v>Unnamed ProjectLlegada.QueueWaiting CostQueue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1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</v>
      </c>
      <c r="O21" s="3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s="3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 s="3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1" s="3" cm="1">
        <f t="array" ref="R21">MIN(IF((DiscreteStatsTable[GroupByKey]=DiscreteStatsTable[[#This Row],[GroupByKey]]),(DiscreteStatsTable[GroupByKey]=DiscreteStatsTable[[#This Row],[GroupByKey]])*DiscreteStatsTable[Average]))</f>
        <v>0</v>
      </c>
      <c r="S21" s="3" cm="1">
        <f t="array" ref="S21">MAX(IF((DiscreteStatsTable[GroupByKey]=DiscreteStatsTable[[#This Row],[GroupByKey]]),(DiscreteStatsTable[GroupByKey]=DiscreteStatsTable[[#This Row],[GroupByKey]])*DiscreteStatsTable[Average]))</f>
        <v>0</v>
      </c>
      <c r="T21" s="3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s="3" cm="1">
        <f t="array" ref="U21">MAX(IF((DiscreteStatsTable[GroupByKey]=DiscreteStatsTable[[#This Row],[GroupByKey]]),(DiscreteStatsTable[GroupByKey]=DiscreteStatsTable[[#This Row],[GroupByKey]])*DiscreteStatsTable[Maximum]))</f>
        <v>0</v>
      </c>
      <c r="V21" s="3" cm="1">
        <f t="array" ref="V21">IFERROR(AVERAGE(IF((DiscreteStatsTable[GroupByKey]=DiscreteStatsTable[[#This Row],[GroupByKey]]),(DiscreteStatsTable[GroupByKey]=DiscreteStatsTable[[#This Row],[GroupByKey]])*DiscreteStatsTable[NumberObservations])),0)</f>
        <v>174</v>
      </c>
      <c r="W21" s="3">
        <f>IF((DiscreteStatsTable[[#This Row],[RepsRequested]]&gt;1),DiscreteStatsTable[[#This Row],[HalfWidth]],DiscreteStatsTable[[#This Row],[BatchMeansHalfWidth]])</f>
        <v>2E+20</v>
      </c>
      <c r="X21" s="3" cm="1">
        <f t="array" ref="X21">COUNT(IF((DiscreteStatsTable[GroupByKey]=DiscreteStatsTable[[#This Row],[GroupByKey]]),(DiscreteStatsTable[GroupByKey]=DiscreteStatsTable[[#This Row],[GroupByKey]])*DiscreteStatsTable[Replication]))</f>
        <v>1</v>
      </c>
      <c r="Y21" s="3">
        <f>IF(DiscreteStatsTable[[#This Row],[RepsRequested]]=DiscreteStatsTable[[#This Row],[RepsWithStatObserved]],1,0)</f>
        <v>1</v>
      </c>
    </row>
    <row r="22" spans="1:25" x14ac:dyDescent="0.25">
      <c r="A22" t="s">
        <v>67</v>
      </c>
      <c r="B22" t="s">
        <v>69</v>
      </c>
      <c r="C22">
        <v>1</v>
      </c>
      <c r="D22" t="s">
        <v>95</v>
      </c>
      <c r="E22" t="s">
        <v>98</v>
      </c>
      <c r="F22" t="s">
        <v>97</v>
      </c>
      <c r="G22">
        <v>3.9856073144779902</v>
      </c>
      <c r="H22">
        <v>2E+20</v>
      </c>
      <c r="I22">
        <v>0</v>
      </c>
      <c r="J22">
        <v>7.9513431978737303</v>
      </c>
      <c r="K22">
        <v>174</v>
      </c>
      <c r="L22" t="str">
        <f>DiscreteStatsTable[[#This Row],[ProjectName]]&amp;DiscreteStatsTable[[#This Row],[Name]]&amp;DiscreteStatsTable[[#This Row],[Type]]&amp;DiscreteStatsTable[[#This Row],[Source]]</f>
        <v>Unnamed ProjectLlegada.QueueWaiting TimeQueue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1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3.9856073144779902</v>
      </c>
      <c r="O22" s="3" cm="1">
        <f t="array" ref="O22">IFERROR(_xlfn.STDEV.S(IF((DiscreteStatsTable[GroupByKey]=DiscreteStatsTable[[#This Row],[GroupByKey]]),(DiscreteStatsTable[GroupByKey]=DiscreteStatsTable[[#This Row],[GroupByKey]])*DiscreteStatsTable[Average])),0)</f>
        <v>0</v>
      </c>
      <c r="P22" s="3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 s="3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2" s="3" cm="1">
        <f t="array" ref="R22">MIN(IF((DiscreteStatsTable[GroupByKey]=DiscreteStatsTable[[#This Row],[GroupByKey]]),(DiscreteStatsTable[GroupByKey]=DiscreteStatsTable[[#This Row],[GroupByKey]])*DiscreteStatsTable[Average]))</f>
        <v>3.9856073144779902</v>
      </c>
      <c r="S22" s="3" cm="1">
        <f t="array" ref="S22">MAX(IF((DiscreteStatsTable[GroupByKey]=DiscreteStatsTable[[#This Row],[GroupByKey]]),(DiscreteStatsTable[GroupByKey]=DiscreteStatsTable[[#This Row],[GroupByKey]])*DiscreteStatsTable[Average]))</f>
        <v>3.9856073144779902</v>
      </c>
      <c r="T22" s="3" cm="1">
        <f t="array" ref="T22">MIN(IF((DiscreteStatsTable[GroupByKey]=DiscreteStatsTable[[#This Row],[GroupByKey]]),(DiscreteStatsTable[GroupByKey]=DiscreteStatsTable[[#This Row],[GroupByKey]])*DiscreteStatsTable[Minimum]))</f>
        <v>0</v>
      </c>
      <c r="U22" s="3" cm="1">
        <f t="array" ref="U22">MAX(IF((DiscreteStatsTable[GroupByKey]=DiscreteStatsTable[[#This Row],[GroupByKey]]),(DiscreteStatsTable[GroupByKey]=DiscreteStatsTable[[#This Row],[GroupByKey]])*DiscreteStatsTable[Maximum]))</f>
        <v>7.9513431978737303</v>
      </c>
      <c r="V22" s="3" cm="1">
        <f t="array" ref="V22">IFERROR(AVERAGE(IF((DiscreteStatsTable[GroupByKey]=DiscreteStatsTable[[#This Row],[GroupByKey]]),(DiscreteStatsTable[GroupByKey]=DiscreteStatsTable[[#This Row],[GroupByKey]])*DiscreteStatsTable[NumberObservations])),0)</f>
        <v>174</v>
      </c>
      <c r="W22" s="3">
        <f>IF((DiscreteStatsTable[[#This Row],[RepsRequested]]&gt;1),DiscreteStatsTable[[#This Row],[HalfWidth]],DiscreteStatsTable[[#This Row],[BatchMeansHalfWidth]])</f>
        <v>2E+20</v>
      </c>
      <c r="X22" s="3" cm="1">
        <f t="array" ref="X22">COUNT(IF((DiscreteStatsTable[GroupByKey]=DiscreteStatsTable[[#This Row],[GroupByKey]]),(DiscreteStatsTable[GroupByKey]=DiscreteStatsTable[[#This Row],[GroupByKey]])*DiscreteStatsTable[Replication]))</f>
        <v>1</v>
      </c>
      <c r="Y22" s="3">
        <f>IF(DiscreteStatsTable[[#This Row],[RepsRequested]]=DiscreteStatsTable[[#This Row],[RepsWithStatObserved]],1,0)</f>
        <v>1</v>
      </c>
    </row>
    <row r="23" spans="1:25" x14ac:dyDescent="0.25">
      <c r="A23" t="s">
        <v>67</v>
      </c>
      <c r="B23" t="s">
        <v>69</v>
      </c>
      <c r="C23">
        <v>1</v>
      </c>
      <c r="D23" t="s">
        <v>99</v>
      </c>
      <c r="E23" t="s">
        <v>100</v>
      </c>
      <c r="F23" t="s">
        <v>72</v>
      </c>
      <c r="G23">
        <v>1</v>
      </c>
      <c r="H23">
        <v>2E+20</v>
      </c>
      <c r="I23">
        <v>1</v>
      </c>
      <c r="J23">
        <v>1</v>
      </c>
      <c r="K23">
        <v>174</v>
      </c>
      <c r="L23" t="str">
        <f>DiscreteStatsTable[[#This Row],[ProjectName]]&amp;DiscreteStatsTable[[#This Row],[Name]]&amp;DiscreteStatsTable[[#This Row],[Type]]&amp;DiscreteStatsTable[[#This Row],[Source]]</f>
        <v>Unnamed ProjectLleganAExpressionUser Specified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1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1</v>
      </c>
      <c r="O23" s="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s="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 s="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3" s="3" cm="1">
        <f t="array" ref="R23">MIN(IF((DiscreteStatsTable[GroupByKey]=DiscreteStatsTable[[#This Row],[GroupByKey]]),(DiscreteStatsTable[GroupByKey]=DiscreteStatsTable[[#This Row],[GroupByKey]])*DiscreteStatsTable[Average]))</f>
        <v>1</v>
      </c>
      <c r="S23" s="3" cm="1">
        <f t="array" ref="S23">MAX(IF((DiscreteStatsTable[GroupByKey]=DiscreteStatsTable[[#This Row],[GroupByKey]]),(DiscreteStatsTable[GroupByKey]=DiscreteStatsTable[[#This Row],[GroupByKey]])*DiscreteStatsTable[Average]))</f>
        <v>1</v>
      </c>
      <c r="T23" s="3" cm="1">
        <f t="array" ref="T23">MIN(IF((DiscreteStatsTable[GroupByKey]=DiscreteStatsTable[[#This Row],[GroupByKey]]),(DiscreteStatsTable[GroupByKey]=DiscreteStatsTable[[#This Row],[GroupByKey]])*DiscreteStatsTable[Minimum]))</f>
        <v>1</v>
      </c>
      <c r="U23" s="3" cm="1">
        <f t="array" ref="U23">MAX(IF((DiscreteStatsTable[GroupByKey]=DiscreteStatsTable[[#This Row],[GroupByKey]]),(DiscreteStatsTable[GroupByKey]=DiscreteStatsTable[[#This Row],[GroupByKey]])*DiscreteStatsTable[Maximum]))</f>
        <v>1</v>
      </c>
      <c r="V23" s="3" cm="1">
        <f t="array" ref="V23">IFERROR(AVERAGE(IF((DiscreteStatsTable[GroupByKey]=DiscreteStatsTable[[#This Row],[GroupByKey]]),(DiscreteStatsTable[GroupByKey]=DiscreteStatsTable[[#This Row],[GroupByKey]])*DiscreteStatsTable[NumberObservations])),0)</f>
        <v>174</v>
      </c>
      <c r="W23" s="3">
        <f>IF((DiscreteStatsTable[[#This Row],[RepsRequested]]&gt;1),DiscreteStatsTable[[#This Row],[HalfWidth]],DiscreteStatsTable[[#This Row],[BatchMeansHalfWidth]])</f>
        <v>2E+20</v>
      </c>
      <c r="X23" s="3" cm="1">
        <f t="array" ref="X23">COUNT(IF((DiscreteStatsTable[GroupByKey]=DiscreteStatsTable[[#This Row],[GroupByKey]]),(DiscreteStatsTable[GroupByKey]=DiscreteStatsTable[[#This Row],[GroupByKey]])*DiscreteStatsTable[Replication]))</f>
        <v>1</v>
      </c>
      <c r="Y23" s="3">
        <f>IF(DiscreteStatsTable[[#This Row],[RepsRequested]]=DiscreteStatsTable[[#This Row],[RepsWithStatObserved]],1,0)</f>
        <v>1</v>
      </c>
    </row>
    <row r="24" spans="1:25" x14ac:dyDescent="0.25">
      <c r="A24" t="s">
        <v>67</v>
      </c>
      <c r="B24" t="s">
        <v>69</v>
      </c>
      <c r="C24">
        <v>1</v>
      </c>
      <c r="D24" t="s">
        <v>101</v>
      </c>
      <c r="E24" t="s">
        <v>100</v>
      </c>
      <c r="F24" t="s">
        <v>72</v>
      </c>
      <c r="G24">
        <v>1</v>
      </c>
      <c r="H24">
        <v>2E+20</v>
      </c>
      <c r="I24">
        <v>1</v>
      </c>
      <c r="J24">
        <v>1</v>
      </c>
      <c r="K24">
        <v>174</v>
      </c>
      <c r="L24" t="str">
        <f>DiscreteStatsTable[[#This Row],[ProjectName]]&amp;DiscreteStatsTable[[#This Row],[Name]]&amp;DiscreteStatsTable[[#This Row],[Type]]&amp;DiscreteStatsTable[[#This Row],[Source]]</f>
        <v>Unnamed ProjectLleganBExpressionUser Specified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1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1</v>
      </c>
      <c r="O24" s="3" cm="1">
        <f t="array" ref="O24">IFERROR(_xlfn.STDEV.S(IF((DiscreteStatsTable[GroupByKey]=DiscreteStatsTable[[#This Row],[GroupByKey]]),(DiscreteStatsTable[GroupByKey]=DiscreteStatsTable[[#This Row],[GroupByKey]])*DiscreteStatsTable[Average])),0)</f>
        <v>0</v>
      </c>
      <c r="P24" s="3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 s="3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4" s="3" cm="1">
        <f t="array" ref="R24">MIN(IF((DiscreteStatsTable[GroupByKey]=DiscreteStatsTable[[#This Row],[GroupByKey]]),(DiscreteStatsTable[GroupByKey]=DiscreteStatsTable[[#This Row],[GroupByKey]])*DiscreteStatsTable[Average]))</f>
        <v>1</v>
      </c>
      <c r="S24" s="3" cm="1">
        <f t="array" ref="S24">MAX(IF((DiscreteStatsTable[GroupByKey]=DiscreteStatsTable[[#This Row],[GroupByKey]]),(DiscreteStatsTable[GroupByKey]=DiscreteStatsTable[[#This Row],[GroupByKey]])*DiscreteStatsTable[Average]))</f>
        <v>1</v>
      </c>
      <c r="T24" s="3" cm="1">
        <f t="array" ref="T24">MIN(IF((DiscreteStatsTable[GroupByKey]=DiscreteStatsTable[[#This Row],[GroupByKey]]),(DiscreteStatsTable[GroupByKey]=DiscreteStatsTable[[#This Row],[GroupByKey]])*DiscreteStatsTable[Minimum]))</f>
        <v>1</v>
      </c>
      <c r="U24" s="3" cm="1">
        <f t="array" ref="U24">MAX(IF((DiscreteStatsTable[GroupByKey]=DiscreteStatsTable[[#This Row],[GroupByKey]]),(DiscreteStatsTable[GroupByKey]=DiscreteStatsTable[[#This Row],[GroupByKey]])*DiscreteStatsTable[Maximum]))</f>
        <v>1</v>
      </c>
      <c r="V24" s="3" cm="1">
        <f t="array" ref="V24">IFERROR(AVERAGE(IF((DiscreteStatsTable[GroupByKey]=DiscreteStatsTable[[#This Row],[GroupByKey]]),(DiscreteStatsTable[GroupByKey]=DiscreteStatsTable[[#This Row],[GroupByKey]])*DiscreteStatsTable[NumberObservations])),0)</f>
        <v>174</v>
      </c>
      <c r="W24" s="3">
        <f>IF((DiscreteStatsTable[[#This Row],[RepsRequested]]&gt;1),DiscreteStatsTable[[#This Row],[HalfWidth]],DiscreteStatsTable[[#This Row],[BatchMeansHalfWidth]])</f>
        <v>2E+20</v>
      </c>
      <c r="X24" s="3" cm="1">
        <f t="array" ref="X24">COUNT(IF((DiscreteStatsTable[GroupByKey]=DiscreteStatsTable[[#This Row],[GroupByKey]]),(DiscreteStatsTable[GroupByKey]=DiscreteStatsTable[[#This Row],[GroupByKey]])*DiscreteStatsTable[Replication]))</f>
        <v>1</v>
      </c>
      <c r="Y24" s="3">
        <f>IF(DiscreteStatsTable[[#This Row],[RepsRequested]]=DiscreteStatsTable[[#This Row],[RepsWithStatObserved]],1,0)</f>
        <v>1</v>
      </c>
    </row>
    <row r="25" spans="1:25" x14ac:dyDescent="0.25">
      <c r="A25" t="s">
        <v>67</v>
      </c>
      <c r="B25" t="s">
        <v>69</v>
      </c>
      <c r="C25">
        <v>1</v>
      </c>
      <c r="D25" t="s">
        <v>102</v>
      </c>
      <c r="E25" t="s">
        <v>88</v>
      </c>
      <c r="F25" t="s">
        <v>89</v>
      </c>
      <c r="G25">
        <v>0</v>
      </c>
      <c r="H25">
        <v>2E+20</v>
      </c>
      <c r="I25">
        <v>0</v>
      </c>
      <c r="J25">
        <v>0</v>
      </c>
      <c r="K25">
        <v>174</v>
      </c>
      <c r="L25" t="str">
        <f>DiscreteStatsTable[[#This Row],[ProjectName]]&amp;DiscreteStatsTable[[#This Row],[Name]]&amp;DiscreteStatsTable[[#This Row],[Type]]&amp;DiscreteStatsTable[[#This Row],[Source]]</f>
        <v>Unnamed ProjectLlenadoProTotal Cost Per EntityProcess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1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0</v>
      </c>
      <c r="O25" s="3" cm="1">
        <f t="array" ref="O25">IFERROR(_xlfn.STDEV.S(IF((DiscreteStatsTable[GroupByKey]=DiscreteStatsTable[[#This Row],[GroupByKey]]),(DiscreteStatsTable[GroupByKey]=DiscreteStatsTable[[#This Row],[GroupByKey]])*DiscreteStatsTable[Average])),0)</f>
        <v>0</v>
      </c>
      <c r="P25" s="3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 s="3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5" s="3" cm="1">
        <f t="array" ref="R25">MIN(IF((DiscreteStatsTable[GroupByKey]=DiscreteStatsTable[[#This Row],[GroupByKey]]),(DiscreteStatsTable[GroupByKey]=DiscreteStatsTable[[#This Row],[GroupByKey]])*DiscreteStatsTable[Average]))</f>
        <v>0</v>
      </c>
      <c r="S25" s="3" cm="1">
        <f t="array" ref="S25">MAX(IF((DiscreteStatsTable[GroupByKey]=DiscreteStatsTable[[#This Row],[GroupByKey]]),(DiscreteStatsTable[GroupByKey]=DiscreteStatsTable[[#This Row],[GroupByKey]])*DiscreteStatsTable[Average]))</f>
        <v>0</v>
      </c>
      <c r="T25" s="3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s="3" cm="1">
        <f t="array" ref="U25">MAX(IF((DiscreteStatsTable[GroupByKey]=DiscreteStatsTable[[#This Row],[GroupByKey]]),(DiscreteStatsTable[GroupByKey]=DiscreteStatsTable[[#This Row],[GroupByKey]])*DiscreteStatsTable[Maximum]))</f>
        <v>0</v>
      </c>
      <c r="V25" s="3" cm="1">
        <f t="array" ref="V25">IFERROR(AVERAGE(IF((DiscreteStatsTable[GroupByKey]=DiscreteStatsTable[[#This Row],[GroupByKey]]),(DiscreteStatsTable[GroupByKey]=DiscreteStatsTable[[#This Row],[GroupByKey]])*DiscreteStatsTable[NumberObservations])),0)</f>
        <v>174</v>
      </c>
      <c r="W25" s="3">
        <f>IF((DiscreteStatsTable[[#This Row],[RepsRequested]]&gt;1),DiscreteStatsTable[[#This Row],[HalfWidth]],DiscreteStatsTable[[#This Row],[BatchMeansHalfWidth]])</f>
        <v>2E+20</v>
      </c>
      <c r="X25" s="3" cm="1">
        <f t="array" ref="X25">COUNT(IF((DiscreteStatsTable[GroupByKey]=DiscreteStatsTable[[#This Row],[GroupByKey]]),(DiscreteStatsTable[GroupByKey]=DiscreteStatsTable[[#This Row],[GroupByKey]])*DiscreteStatsTable[Replication]))</f>
        <v>1</v>
      </c>
      <c r="Y25" s="3">
        <f>IF(DiscreteStatsTable[[#This Row],[RepsRequested]]=DiscreteStatsTable[[#This Row],[RepsWithStatObserved]],1,0)</f>
        <v>1</v>
      </c>
    </row>
    <row r="26" spans="1:25" x14ac:dyDescent="0.25">
      <c r="A26" t="s">
        <v>67</v>
      </c>
      <c r="B26" t="s">
        <v>69</v>
      </c>
      <c r="C26">
        <v>1</v>
      </c>
      <c r="D26" t="s">
        <v>102</v>
      </c>
      <c r="E26" t="s">
        <v>90</v>
      </c>
      <c r="F26" t="s">
        <v>89</v>
      </c>
      <c r="G26">
        <v>7.0903671372871596E-2</v>
      </c>
      <c r="H26">
        <v>2E+20</v>
      </c>
      <c r="I26">
        <v>2.10771973389186E-2</v>
      </c>
      <c r="J26">
        <v>0.150028631227416</v>
      </c>
      <c r="K26">
        <v>174</v>
      </c>
      <c r="L26" t="str">
        <f>DiscreteStatsTable[[#This Row],[ProjectName]]&amp;DiscreteStatsTable[[#This Row],[Name]]&amp;DiscreteStatsTable[[#This Row],[Type]]&amp;DiscreteStatsTable[[#This Row],[Source]]</f>
        <v>Unnamed ProjectLlenadoProTotal Time Per EntityProcess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1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7.0903671372871596E-2</v>
      </c>
      <c r="O26" s="3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s="3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 s="3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6" s="3" cm="1">
        <f t="array" ref="R26">MIN(IF((DiscreteStatsTable[GroupByKey]=DiscreteStatsTable[[#This Row],[GroupByKey]]),(DiscreteStatsTable[GroupByKey]=DiscreteStatsTable[[#This Row],[GroupByKey]])*DiscreteStatsTable[Average]))</f>
        <v>7.0903671372871596E-2</v>
      </c>
      <c r="S26" s="3" cm="1">
        <f t="array" ref="S26">MAX(IF((DiscreteStatsTable[GroupByKey]=DiscreteStatsTable[[#This Row],[GroupByKey]]),(DiscreteStatsTable[GroupByKey]=DiscreteStatsTable[[#This Row],[GroupByKey]])*DiscreteStatsTable[Average]))</f>
        <v>7.0903671372871596E-2</v>
      </c>
      <c r="T26" s="3" cm="1">
        <f t="array" ref="T26">MIN(IF((DiscreteStatsTable[GroupByKey]=DiscreteStatsTable[[#This Row],[GroupByKey]]),(DiscreteStatsTable[GroupByKey]=DiscreteStatsTable[[#This Row],[GroupByKey]])*DiscreteStatsTable[Minimum]))</f>
        <v>2.10771973389186E-2</v>
      </c>
      <c r="U26" s="3" cm="1">
        <f t="array" ref="U26">MAX(IF((DiscreteStatsTable[GroupByKey]=DiscreteStatsTable[[#This Row],[GroupByKey]]),(DiscreteStatsTable[GroupByKey]=DiscreteStatsTable[[#This Row],[GroupByKey]])*DiscreteStatsTable[Maximum]))</f>
        <v>0.150028631227416</v>
      </c>
      <c r="V26" s="3" cm="1">
        <f t="array" ref="V26">IFERROR(AVERAGE(IF((DiscreteStatsTable[GroupByKey]=DiscreteStatsTable[[#This Row],[GroupByKey]]),(DiscreteStatsTable[GroupByKey]=DiscreteStatsTable[[#This Row],[GroupByKey]])*DiscreteStatsTable[NumberObservations])),0)</f>
        <v>174</v>
      </c>
      <c r="W26" s="3">
        <f>IF((DiscreteStatsTable[[#This Row],[RepsRequested]]&gt;1),DiscreteStatsTable[[#This Row],[HalfWidth]],DiscreteStatsTable[[#This Row],[BatchMeansHalfWidth]])</f>
        <v>2E+20</v>
      </c>
      <c r="X26" s="3" cm="1">
        <f t="array" ref="X26">COUNT(IF((DiscreteStatsTable[GroupByKey]=DiscreteStatsTable[[#This Row],[GroupByKey]]),(DiscreteStatsTable[GroupByKey]=DiscreteStatsTable[[#This Row],[GroupByKey]])*DiscreteStatsTable[Replication]))</f>
        <v>1</v>
      </c>
      <c r="Y26" s="3">
        <f>IF(DiscreteStatsTable[[#This Row],[RepsRequested]]=DiscreteStatsTable[[#This Row],[RepsWithStatObserved]],1,0)</f>
        <v>1</v>
      </c>
    </row>
    <row r="27" spans="1:25" x14ac:dyDescent="0.25">
      <c r="A27" t="s">
        <v>67</v>
      </c>
      <c r="B27" t="s">
        <v>69</v>
      </c>
      <c r="C27">
        <v>1</v>
      </c>
      <c r="D27" t="s">
        <v>102</v>
      </c>
      <c r="E27" t="s">
        <v>91</v>
      </c>
      <c r="F27" t="s">
        <v>89</v>
      </c>
      <c r="G27">
        <v>0</v>
      </c>
      <c r="H27">
        <v>2E+20</v>
      </c>
      <c r="I27">
        <v>0</v>
      </c>
      <c r="J27">
        <v>0</v>
      </c>
      <c r="K27">
        <v>174</v>
      </c>
      <c r="L27" t="str">
        <f>DiscreteStatsTable[[#This Row],[ProjectName]]&amp;DiscreteStatsTable[[#This Row],[Name]]&amp;DiscreteStatsTable[[#This Row],[Type]]&amp;DiscreteStatsTable[[#This Row],[Source]]</f>
        <v>Unnamed ProjectLlenadoProVA Cost Per EntityProcess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1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</v>
      </c>
      <c r="O27" s="3" cm="1">
        <f t="array" ref="O27">IFERROR(_xlfn.STDEV.S(IF((DiscreteStatsTable[GroupByKey]=DiscreteStatsTable[[#This Row],[GroupByKey]]),(DiscreteStatsTable[GroupByKey]=DiscreteStatsTable[[#This Row],[GroupByKey]])*DiscreteStatsTable[Average])),0)</f>
        <v>0</v>
      </c>
      <c r="P27" s="3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 s="3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7" s="3" cm="1">
        <f t="array" ref="R27">MIN(IF((DiscreteStatsTable[GroupByKey]=DiscreteStatsTable[[#This Row],[GroupByKey]]),(DiscreteStatsTable[GroupByKey]=DiscreteStatsTable[[#This Row],[GroupByKey]])*DiscreteStatsTable[Average]))</f>
        <v>0</v>
      </c>
      <c r="S27" s="3" cm="1">
        <f t="array" ref="S27">MAX(IF((DiscreteStatsTable[GroupByKey]=DiscreteStatsTable[[#This Row],[GroupByKey]]),(DiscreteStatsTable[GroupByKey]=DiscreteStatsTable[[#This Row],[GroupByKey]])*DiscreteStatsTable[Average]))</f>
        <v>0</v>
      </c>
      <c r="T27" s="3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s="3" cm="1">
        <f t="array" ref="U27">MAX(IF((DiscreteStatsTable[GroupByKey]=DiscreteStatsTable[[#This Row],[GroupByKey]]),(DiscreteStatsTable[GroupByKey]=DiscreteStatsTable[[#This Row],[GroupByKey]])*DiscreteStatsTable[Maximum]))</f>
        <v>0</v>
      </c>
      <c r="V27" s="3" cm="1">
        <f t="array" ref="V27">IFERROR(AVERAGE(IF((DiscreteStatsTable[GroupByKey]=DiscreteStatsTable[[#This Row],[GroupByKey]]),(DiscreteStatsTable[GroupByKey]=DiscreteStatsTable[[#This Row],[GroupByKey]])*DiscreteStatsTable[NumberObservations])),0)</f>
        <v>174</v>
      </c>
      <c r="W27" s="3">
        <f>IF((DiscreteStatsTable[[#This Row],[RepsRequested]]&gt;1),DiscreteStatsTable[[#This Row],[HalfWidth]],DiscreteStatsTable[[#This Row],[BatchMeansHalfWidth]])</f>
        <v>2E+20</v>
      </c>
      <c r="X27" s="3" cm="1">
        <f t="array" ref="X27">COUNT(IF((DiscreteStatsTable[GroupByKey]=DiscreteStatsTable[[#This Row],[GroupByKey]]),(DiscreteStatsTable[GroupByKey]=DiscreteStatsTable[[#This Row],[GroupByKey]])*DiscreteStatsTable[Replication]))</f>
        <v>1</v>
      </c>
      <c r="Y27" s="3">
        <f>IF(DiscreteStatsTable[[#This Row],[RepsRequested]]=DiscreteStatsTable[[#This Row],[RepsWithStatObserved]],1,0)</f>
        <v>1</v>
      </c>
    </row>
    <row r="28" spans="1:25" x14ac:dyDescent="0.25">
      <c r="A28" t="s">
        <v>67</v>
      </c>
      <c r="B28" t="s">
        <v>69</v>
      </c>
      <c r="C28">
        <v>1</v>
      </c>
      <c r="D28" t="s">
        <v>102</v>
      </c>
      <c r="E28" t="s">
        <v>92</v>
      </c>
      <c r="F28" t="s">
        <v>89</v>
      </c>
      <c r="G28">
        <v>4.8369033901061398E-2</v>
      </c>
      <c r="H28">
        <v>2E+20</v>
      </c>
      <c r="I28">
        <v>1.8440946413532399E-2</v>
      </c>
      <c r="J28">
        <v>8.1607335434169301E-2</v>
      </c>
      <c r="K28">
        <v>174</v>
      </c>
      <c r="L28" t="str">
        <f>DiscreteStatsTable[[#This Row],[ProjectName]]&amp;DiscreteStatsTable[[#This Row],[Name]]&amp;DiscreteStatsTable[[#This Row],[Type]]&amp;DiscreteStatsTable[[#This Row],[Source]]</f>
        <v>Unnamed ProjectLlenadoProVA Time Per EntityProcess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1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4.8369033901061398E-2</v>
      </c>
      <c r="O28" s="3" cm="1">
        <f t="array" ref="O28">IFERROR(_xlfn.STDEV.S(IF((DiscreteStatsTable[GroupByKey]=DiscreteStatsTable[[#This Row],[GroupByKey]]),(DiscreteStatsTable[GroupByKey]=DiscreteStatsTable[[#This Row],[GroupByKey]])*DiscreteStatsTable[Average])),0)</f>
        <v>0</v>
      </c>
      <c r="P28" s="3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 s="3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8" s="3" cm="1">
        <f t="array" ref="R28">MIN(IF((DiscreteStatsTable[GroupByKey]=DiscreteStatsTable[[#This Row],[GroupByKey]]),(DiscreteStatsTable[GroupByKey]=DiscreteStatsTable[[#This Row],[GroupByKey]])*DiscreteStatsTable[Average]))</f>
        <v>4.8369033901061398E-2</v>
      </c>
      <c r="S28" s="3" cm="1">
        <f t="array" ref="S28">MAX(IF((DiscreteStatsTable[GroupByKey]=DiscreteStatsTable[[#This Row],[GroupByKey]]),(DiscreteStatsTable[GroupByKey]=DiscreteStatsTable[[#This Row],[GroupByKey]])*DiscreteStatsTable[Average]))</f>
        <v>4.8369033901061398E-2</v>
      </c>
      <c r="T28" s="3" cm="1">
        <f t="array" ref="T28">MIN(IF((DiscreteStatsTable[GroupByKey]=DiscreteStatsTable[[#This Row],[GroupByKey]]),(DiscreteStatsTable[GroupByKey]=DiscreteStatsTable[[#This Row],[GroupByKey]])*DiscreteStatsTable[Minimum]))</f>
        <v>1.8440946413532399E-2</v>
      </c>
      <c r="U28" s="3" cm="1">
        <f t="array" ref="U28">MAX(IF((DiscreteStatsTable[GroupByKey]=DiscreteStatsTable[[#This Row],[GroupByKey]]),(DiscreteStatsTable[GroupByKey]=DiscreteStatsTable[[#This Row],[GroupByKey]])*DiscreteStatsTable[Maximum]))</f>
        <v>8.1607335434169301E-2</v>
      </c>
      <c r="V28" s="3" cm="1">
        <f t="array" ref="V28">IFERROR(AVERAGE(IF((DiscreteStatsTable[GroupByKey]=DiscreteStatsTable[[#This Row],[GroupByKey]]),(DiscreteStatsTable[GroupByKey]=DiscreteStatsTable[[#This Row],[GroupByKey]])*DiscreteStatsTable[NumberObservations])),0)</f>
        <v>174</v>
      </c>
      <c r="W28" s="3">
        <f>IF((DiscreteStatsTable[[#This Row],[RepsRequested]]&gt;1),DiscreteStatsTable[[#This Row],[HalfWidth]],DiscreteStatsTable[[#This Row],[BatchMeansHalfWidth]])</f>
        <v>2E+20</v>
      </c>
      <c r="X28" s="3" cm="1">
        <f t="array" ref="X28">COUNT(IF((DiscreteStatsTable[GroupByKey]=DiscreteStatsTable[[#This Row],[GroupByKey]]),(DiscreteStatsTable[GroupByKey]=DiscreteStatsTable[[#This Row],[GroupByKey]])*DiscreteStatsTable[Replication]))</f>
        <v>1</v>
      </c>
      <c r="Y28" s="3">
        <f>IF(DiscreteStatsTable[[#This Row],[RepsRequested]]=DiscreteStatsTable[[#This Row],[RepsWithStatObserved]],1,0)</f>
        <v>1</v>
      </c>
    </row>
    <row r="29" spans="1:25" x14ac:dyDescent="0.25">
      <c r="A29" t="s">
        <v>67</v>
      </c>
      <c r="B29" t="s">
        <v>69</v>
      </c>
      <c r="C29">
        <v>1</v>
      </c>
      <c r="D29" t="s">
        <v>102</v>
      </c>
      <c r="E29" t="s">
        <v>93</v>
      </c>
      <c r="F29" t="s">
        <v>89</v>
      </c>
      <c r="G29">
        <v>0</v>
      </c>
      <c r="H29">
        <v>2E+20</v>
      </c>
      <c r="I29">
        <v>0</v>
      </c>
      <c r="J29">
        <v>0</v>
      </c>
      <c r="K29">
        <v>174</v>
      </c>
      <c r="L29" t="str">
        <f>DiscreteStatsTable[[#This Row],[ProjectName]]&amp;DiscreteStatsTable[[#This Row],[Name]]&amp;DiscreteStatsTable[[#This Row],[Type]]&amp;DiscreteStatsTable[[#This Row],[Source]]</f>
        <v>Unnamed ProjectLlenadoProWait Cost Per EntityProcess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1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</v>
      </c>
      <c r="O29" s="3" cm="1">
        <f t="array" ref="O29">IFERROR(_xlfn.STDEV.S(IF((DiscreteStatsTable[GroupByKey]=DiscreteStatsTable[[#This Row],[GroupByKey]]),(DiscreteStatsTable[GroupByKey]=DiscreteStatsTable[[#This Row],[GroupByKey]])*DiscreteStatsTable[Average])),0)</f>
        <v>0</v>
      </c>
      <c r="P29" s="3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 s="3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9" s="3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s="3" cm="1">
        <f t="array" ref="S29">MAX(IF((DiscreteStatsTable[GroupByKey]=DiscreteStatsTable[[#This Row],[GroupByKey]]),(DiscreteStatsTable[GroupByKey]=DiscreteStatsTable[[#This Row],[GroupByKey]])*DiscreteStatsTable[Average]))</f>
        <v>0</v>
      </c>
      <c r="T29" s="3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s="3" cm="1">
        <f t="array" ref="U29">MAX(IF((DiscreteStatsTable[GroupByKey]=DiscreteStatsTable[[#This Row],[GroupByKey]]),(DiscreteStatsTable[GroupByKey]=DiscreteStatsTable[[#This Row],[GroupByKey]])*DiscreteStatsTable[Maximum]))</f>
        <v>0</v>
      </c>
      <c r="V29" s="3" cm="1">
        <f t="array" ref="V29">IFERROR(AVERAGE(IF((DiscreteStatsTable[GroupByKey]=DiscreteStatsTable[[#This Row],[GroupByKey]]),(DiscreteStatsTable[GroupByKey]=DiscreteStatsTable[[#This Row],[GroupByKey]])*DiscreteStatsTable[NumberObservations])),0)</f>
        <v>174</v>
      </c>
      <c r="W29" s="3">
        <f>IF((DiscreteStatsTable[[#This Row],[RepsRequested]]&gt;1),DiscreteStatsTable[[#This Row],[HalfWidth]],DiscreteStatsTable[[#This Row],[BatchMeansHalfWidth]])</f>
        <v>2E+20</v>
      </c>
      <c r="X29" s="3" cm="1">
        <f t="array" ref="X29">COUNT(IF((DiscreteStatsTable[GroupByKey]=DiscreteStatsTable[[#This Row],[GroupByKey]]),(DiscreteStatsTable[GroupByKey]=DiscreteStatsTable[[#This Row],[GroupByKey]])*DiscreteStatsTable[Replication]))</f>
        <v>1</v>
      </c>
      <c r="Y29" s="3">
        <f>IF(DiscreteStatsTable[[#This Row],[RepsRequested]]=DiscreteStatsTable[[#This Row],[RepsWithStatObserved]],1,0)</f>
        <v>1</v>
      </c>
    </row>
    <row r="30" spans="1:25" x14ac:dyDescent="0.25">
      <c r="A30" t="s">
        <v>67</v>
      </c>
      <c r="B30" t="s">
        <v>69</v>
      </c>
      <c r="C30">
        <v>1</v>
      </c>
      <c r="D30" t="s">
        <v>102</v>
      </c>
      <c r="E30" t="s">
        <v>94</v>
      </c>
      <c r="F30" t="s">
        <v>89</v>
      </c>
      <c r="G30">
        <v>2.2534637471810101E-2</v>
      </c>
      <c r="H30">
        <v>2E+20</v>
      </c>
      <c r="I30">
        <v>0</v>
      </c>
      <c r="J30">
        <v>0.105959074406774</v>
      </c>
      <c r="K30">
        <v>174</v>
      </c>
      <c r="L30" t="str">
        <f>DiscreteStatsTable[[#This Row],[ProjectName]]&amp;DiscreteStatsTable[[#This Row],[Name]]&amp;DiscreteStatsTable[[#This Row],[Type]]&amp;DiscreteStatsTable[[#This Row],[Source]]</f>
        <v>Unnamed ProjectLlenadoProWait Time Per EntityProcess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1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2.2534637471810101E-2</v>
      </c>
      <c r="O30" s="3" cm="1">
        <f t="array" ref="O30">IFERROR(_xlfn.STDEV.S(IF((DiscreteStatsTable[GroupByKey]=DiscreteStatsTable[[#This Row],[GroupByKey]]),(DiscreteStatsTable[GroupByKey]=DiscreteStatsTable[[#This Row],[GroupByKey]])*DiscreteStatsTable[Average])),0)</f>
        <v>0</v>
      </c>
      <c r="P30" s="3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 s="3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0" s="3" cm="1">
        <f t="array" ref="R30">MIN(IF((DiscreteStatsTable[GroupByKey]=DiscreteStatsTable[[#This Row],[GroupByKey]]),(DiscreteStatsTable[GroupByKey]=DiscreteStatsTable[[#This Row],[GroupByKey]])*DiscreteStatsTable[Average]))</f>
        <v>2.2534637471810101E-2</v>
      </c>
      <c r="S30" s="3" cm="1">
        <f t="array" ref="S30">MAX(IF((DiscreteStatsTable[GroupByKey]=DiscreteStatsTable[[#This Row],[GroupByKey]]),(DiscreteStatsTable[GroupByKey]=DiscreteStatsTable[[#This Row],[GroupByKey]])*DiscreteStatsTable[Average]))</f>
        <v>2.2534637471810101E-2</v>
      </c>
      <c r="T30" s="3" cm="1">
        <f t="array" ref="T30">MIN(IF((DiscreteStatsTable[GroupByKey]=DiscreteStatsTable[[#This Row],[GroupByKey]]),(DiscreteStatsTable[GroupByKey]=DiscreteStatsTable[[#This Row],[GroupByKey]])*DiscreteStatsTable[Minimum]))</f>
        <v>0</v>
      </c>
      <c r="U30" s="3" cm="1">
        <f t="array" ref="U30">MAX(IF((DiscreteStatsTable[GroupByKey]=DiscreteStatsTable[[#This Row],[GroupByKey]]),(DiscreteStatsTable[GroupByKey]=DiscreteStatsTable[[#This Row],[GroupByKey]])*DiscreteStatsTable[Maximum]))</f>
        <v>0.105959074406774</v>
      </c>
      <c r="V30" s="3" cm="1">
        <f t="array" ref="V30">IFERROR(AVERAGE(IF((DiscreteStatsTable[GroupByKey]=DiscreteStatsTable[[#This Row],[GroupByKey]]),(DiscreteStatsTable[GroupByKey]=DiscreteStatsTable[[#This Row],[GroupByKey]])*DiscreteStatsTable[NumberObservations])),0)</f>
        <v>174</v>
      </c>
      <c r="W30" s="3">
        <f>IF((DiscreteStatsTable[[#This Row],[RepsRequested]]&gt;1),DiscreteStatsTable[[#This Row],[HalfWidth]],DiscreteStatsTable[[#This Row],[BatchMeansHalfWidth]])</f>
        <v>2E+20</v>
      </c>
      <c r="X30" s="3" cm="1">
        <f t="array" ref="X30">COUNT(IF((DiscreteStatsTable[GroupByKey]=DiscreteStatsTable[[#This Row],[GroupByKey]]),(DiscreteStatsTable[GroupByKey]=DiscreteStatsTable[[#This Row],[GroupByKey]])*DiscreteStatsTable[Replication]))</f>
        <v>1</v>
      </c>
      <c r="Y30" s="3">
        <f>IF(DiscreteStatsTable[[#This Row],[RepsRequested]]=DiscreteStatsTable[[#This Row],[RepsWithStatObserved]],1,0)</f>
        <v>1</v>
      </c>
    </row>
    <row r="31" spans="1:25" x14ac:dyDescent="0.25">
      <c r="A31" t="s">
        <v>67</v>
      </c>
      <c r="B31" t="s">
        <v>69</v>
      </c>
      <c r="C31">
        <v>1</v>
      </c>
      <c r="D31" t="s">
        <v>103</v>
      </c>
      <c r="E31" t="s">
        <v>96</v>
      </c>
      <c r="F31" t="s">
        <v>97</v>
      </c>
      <c r="G31">
        <v>0</v>
      </c>
      <c r="H31">
        <v>2E+20</v>
      </c>
      <c r="I31">
        <v>0</v>
      </c>
      <c r="J31">
        <v>0</v>
      </c>
      <c r="K31">
        <v>174</v>
      </c>
      <c r="L31" t="str">
        <f>DiscreteStatsTable[[#This Row],[ProjectName]]&amp;DiscreteStatsTable[[#This Row],[Name]]&amp;DiscreteStatsTable[[#This Row],[Type]]&amp;DiscreteStatsTable[[#This Row],[Source]]</f>
        <v>Unnamed ProjectLlenadoPro.QueueWaiting CostQueue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1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0</v>
      </c>
      <c r="O31" s="3" cm="1">
        <f t="array" ref="O31">IFERROR(_xlfn.STDEV.S(IF((DiscreteStatsTable[GroupByKey]=DiscreteStatsTable[[#This Row],[GroupByKey]]),(DiscreteStatsTable[GroupByKey]=DiscreteStatsTable[[#This Row],[GroupByKey]])*DiscreteStatsTable[Average])),0)</f>
        <v>0</v>
      </c>
      <c r="P31" s="3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 s="3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1" s="3" cm="1">
        <f t="array" ref="R31">MIN(IF((DiscreteStatsTable[GroupByKey]=DiscreteStatsTable[[#This Row],[GroupByKey]]),(DiscreteStatsTable[GroupByKey]=DiscreteStatsTable[[#This Row],[GroupByKey]])*DiscreteStatsTable[Average]))</f>
        <v>0</v>
      </c>
      <c r="S31" s="3" cm="1">
        <f t="array" ref="S31">MAX(IF((DiscreteStatsTable[GroupByKey]=DiscreteStatsTable[[#This Row],[GroupByKey]]),(DiscreteStatsTable[GroupByKey]=DiscreteStatsTable[[#This Row],[GroupByKey]])*DiscreteStatsTable[Average]))</f>
        <v>0</v>
      </c>
      <c r="T31" s="3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s="3" cm="1">
        <f t="array" ref="U31">MAX(IF((DiscreteStatsTable[GroupByKey]=DiscreteStatsTable[[#This Row],[GroupByKey]]),(DiscreteStatsTable[GroupByKey]=DiscreteStatsTable[[#This Row],[GroupByKey]])*DiscreteStatsTable[Maximum]))</f>
        <v>0</v>
      </c>
      <c r="V31" s="3" cm="1">
        <f t="array" ref="V31">IFERROR(AVERAGE(IF((DiscreteStatsTable[GroupByKey]=DiscreteStatsTable[[#This Row],[GroupByKey]]),(DiscreteStatsTable[GroupByKey]=DiscreteStatsTable[[#This Row],[GroupByKey]])*DiscreteStatsTable[NumberObservations])),0)</f>
        <v>174</v>
      </c>
      <c r="W31" s="3">
        <f>IF((DiscreteStatsTable[[#This Row],[RepsRequested]]&gt;1),DiscreteStatsTable[[#This Row],[HalfWidth]],DiscreteStatsTable[[#This Row],[BatchMeansHalfWidth]])</f>
        <v>2E+20</v>
      </c>
      <c r="X31" s="3" cm="1">
        <f t="array" ref="X31">COUNT(IF((DiscreteStatsTable[GroupByKey]=DiscreteStatsTable[[#This Row],[GroupByKey]]),(DiscreteStatsTable[GroupByKey]=DiscreteStatsTable[[#This Row],[GroupByKey]])*DiscreteStatsTable[Replication]))</f>
        <v>1</v>
      </c>
      <c r="Y31" s="3">
        <f>IF(DiscreteStatsTable[[#This Row],[RepsRequested]]=DiscreteStatsTable[[#This Row],[RepsWithStatObserved]],1,0)</f>
        <v>1</v>
      </c>
    </row>
    <row r="32" spans="1:25" x14ac:dyDescent="0.25">
      <c r="A32" t="s">
        <v>67</v>
      </c>
      <c r="B32" t="s">
        <v>69</v>
      </c>
      <c r="C32">
        <v>1</v>
      </c>
      <c r="D32" t="s">
        <v>103</v>
      </c>
      <c r="E32" t="s">
        <v>98</v>
      </c>
      <c r="F32" t="s">
        <v>97</v>
      </c>
      <c r="G32">
        <v>2.2534637471810101E-2</v>
      </c>
      <c r="H32">
        <v>2E+20</v>
      </c>
      <c r="I32">
        <v>0</v>
      </c>
      <c r="J32">
        <v>0.105959074406774</v>
      </c>
      <c r="K32">
        <v>174</v>
      </c>
      <c r="L32" t="str">
        <f>DiscreteStatsTable[[#This Row],[ProjectName]]&amp;DiscreteStatsTable[[#This Row],[Name]]&amp;DiscreteStatsTable[[#This Row],[Type]]&amp;DiscreteStatsTable[[#This Row],[Source]]</f>
        <v>Unnamed ProjectLlenadoPro.QueueWaiting TimeQueue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1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2.2534637471810101E-2</v>
      </c>
      <c r="O32" s="3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s="3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 s="3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2" s="3" cm="1">
        <f t="array" ref="R32">MIN(IF((DiscreteStatsTable[GroupByKey]=DiscreteStatsTable[[#This Row],[GroupByKey]]),(DiscreteStatsTable[GroupByKey]=DiscreteStatsTable[[#This Row],[GroupByKey]])*DiscreteStatsTable[Average]))</f>
        <v>2.2534637471810101E-2</v>
      </c>
      <c r="S32" s="3" cm="1">
        <f t="array" ref="S32">MAX(IF((DiscreteStatsTable[GroupByKey]=DiscreteStatsTable[[#This Row],[GroupByKey]]),(DiscreteStatsTable[GroupByKey]=DiscreteStatsTable[[#This Row],[GroupByKey]])*DiscreteStatsTable[Average]))</f>
        <v>2.2534637471810101E-2</v>
      </c>
      <c r="T32" s="3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s="3" cm="1">
        <f t="array" ref="U32">MAX(IF((DiscreteStatsTable[GroupByKey]=DiscreteStatsTable[[#This Row],[GroupByKey]]),(DiscreteStatsTable[GroupByKey]=DiscreteStatsTable[[#This Row],[GroupByKey]])*DiscreteStatsTable[Maximum]))</f>
        <v>0.105959074406774</v>
      </c>
      <c r="V32" s="3" cm="1">
        <f t="array" ref="V32">IFERROR(AVERAGE(IF((DiscreteStatsTable[GroupByKey]=DiscreteStatsTable[[#This Row],[GroupByKey]]),(DiscreteStatsTable[GroupByKey]=DiscreteStatsTable[[#This Row],[GroupByKey]])*DiscreteStatsTable[NumberObservations])),0)</f>
        <v>174</v>
      </c>
      <c r="W32" s="3">
        <f>IF((DiscreteStatsTable[[#This Row],[RepsRequested]]&gt;1),DiscreteStatsTable[[#This Row],[HalfWidth]],DiscreteStatsTable[[#This Row],[BatchMeansHalfWidth]])</f>
        <v>2E+20</v>
      </c>
      <c r="X32" s="3" cm="1">
        <f t="array" ref="X32">COUNT(IF((DiscreteStatsTable[GroupByKey]=DiscreteStatsTable[[#This Row],[GroupByKey]]),(DiscreteStatsTable[GroupByKey]=DiscreteStatsTable[[#This Row],[GroupByKey]])*DiscreteStatsTable[Replication]))</f>
        <v>1</v>
      </c>
      <c r="Y32" s="3">
        <f>IF(DiscreteStatsTable[[#This Row],[RepsRequested]]=DiscreteStatsTable[[#This Row],[RepsWithStatObserved]],1,0)</f>
        <v>1</v>
      </c>
    </row>
    <row r="33" spans="1:25" x14ac:dyDescent="0.25">
      <c r="A33" t="s">
        <v>67</v>
      </c>
      <c r="B33" t="s">
        <v>69</v>
      </c>
      <c r="C33">
        <v>1</v>
      </c>
      <c r="D33" t="s">
        <v>104</v>
      </c>
      <c r="E33" t="s">
        <v>88</v>
      </c>
      <c r="F33" t="s">
        <v>89</v>
      </c>
      <c r="G33">
        <v>0</v>
      </c>
      <c r="H33">
        <v>2E+20</v>
      </c>
      <c r="I33">
        <v>0</v>
      </c>
      <c r="J33">
        <v>0</v>
      </c>
      <c r="K33">
        <v>174</v>
      </c>
      <c r="L33" t="str">
        <f>DiscreteStatsTable[[#This Row],[ProjectName]]&amp;DiscreteStatsTable[[#This Row],[Name]]&amp;DiscreteStatsTable[[#This Row],[Type]]&amp;DiscreteStatsTable[[#This Row],[Source]]</f>
        <v>Unnamed ProjectTapadoProTotal Cost Per EntityProcess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1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0</v>
      </c>
      <c r="O33" s="3" cm="1">
        <f t="array" ref="O33">IFERROR(_xlfn.STDEV.S(IF((DiscreteStatsTable[GroupByKey]=DiscreteStatsTable[[#This Row],[GroupByKey]]),(DiscreteStatsTable[GroupByKey]=DiscreteStatsTable[[#This Row],[GroupByKey]])*DiscreteStatsTable[Average])),0)</f>
        <v>0</v>
      </c>
      <c r="P33" s="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 s="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3" s="3" cm="1">
        <f t="array" ref="R33">MIN(IF((DiscreteStatsTable[GroupByKey]=DiscreteStatsTable[[#This Row],[GroupByKey]]),(DiscreteStatsTable[GroupByKey]=DiscreteStatsTable[[#This Row],[GroupByKey]])*DiscreteStatsTable[Average]))</f>
        <v>0</v>
      </c>
      <c r="S33" s="3" cm="1">
        <f t="array" ref="S33">MAX(IF((DiscreteStatsTable[GroupByKey]=DiscreteStatsTable[[#This Row],[GroupByKey]]),(DiscreteStatsTable[GroupByKey]=DiscreteStatsTable[[#This Row],[GroupByKey]])*DiscreteStatsTable[Average]))</f>
        <v>0</v>
      </c>
      <c r="T33" s="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s="3" cm="1">
        <f t="array" ref="U33">MAX(IF((DiscreteStatsTable[GroupByKey]=DiscreteStatsTable[[#This Row],[GroupByKey]]),(DiscreteStatsTable[GroupByKey]=DiscreteStatsTable[[#This Row],[GroupByKey]])*DiscreteStatsTable[Maximum]))</f>
        <v>0</v>
      </c>
      <c r="V33" s="3" cm="1">
        <f t="array" ref="V33">IFERROR(AVERAGE(IF((DiscreteStatsTable[GroupByKey]=DiscreteStatsTable[[#This Row],[GroupByKey]]),(DiscreteStatsTable[GroupByKey]=DiscreteStatsTable[[#This Row],[GroupByKey]])*DiscreteStatsTable[NumberObservations])),0)</f>
        <v>174</v>
      </c>
      <c r="W33" s="3">
        <f>IF((DiscreteStatsTable[[#This Row],[RepsRequested]]&gt;1),DiscreteStatsTable[[#This Row],[HalfWidth]],DiscreteStatsTable[[#This Row],[BatchMeansHalfWidth]])</f>
        <v>2E+20</v>
      </c>
      <c r="X33" s="3" cm="1">
        <f t="array" ref="X33">COUNT(IF((DiscreteStatsTable[GroupByKey]=DiscreteStatsTable[[#This Row],[GroupByKey]]),(DiscreteStatsTable[GroupByKey]=DiscreteStatsTable[[#This Row],[GroupByKey]])*DiscreteStatsTable[Replication]))</f>
        <v>1</v>
      </c>
      <c r="Y33" s="3">
        <f>IF(DiscreteStatsTable[[#This Row],[RepsRequested]]=DiscreteStatsTable[[#This Row],[RepsWithStatObserved]],1,0)</f>
        <v>1</v>
      </c>
    </row>
    <row r="34" spans="1:25" x14ac:dyDescent="0.25">
      <c r="A34" t="s">
        <v>67</v>
      </c>
      <c r="B34" t="s">
        <v>69</v>
      </c>
      <c r="C34">
        <v>1</v>
      </c>
      <c r="D34" t="s">
        <v>104</v>
      </c>
      <c r="E34" t="s">
        <v>90</v>
      </c>
      <c r="F34" t="s">
        <v>89</v>
      </c>
      <c r="G34">
        <v>6.6892527211191294E-2</v>
      </c>
      <c r="H34">
        <v>2E+20</v>
      </c>
      <c r="I34">
        <v>4.9999999999999802E-2</v>
      </c>
      <c r="J34">
        <v>0.162112944795616</v>
      </c>
      <c r="K34">
        <v>174</v>
      </c>
      <c r="L34" t="str">
        <f>DiscreteStatsTable[[#This Row],[ProjectName]]&amp;DiscreteStatsTable[[#This Row],[Name]]&amp;DiscreteStatsTable[[#This Row],[Type]]&amp;DiscreteStatsTable[[#This Row],[Source]]</f>
        <v>Unnamed ProjectTapadoProTotal Time Per EntityProcess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1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6.6892527211191294E-2</v>
      </c>
      <c r="O34" s="3" cm="1">
        <f t="array" ref="O34">IFERROR(_xlfn.STDEV.S(IF((DiscreteStatsTable[GroupByKey]=DiscreteStatsTable[[#This Row],[GroupByKey]]),(DiscreteStatsTable[GroupByKey]=DiscreteStatsTable[[#This Row],[GroupByKey]])*DiscreteStatsTable[Average])),0)</f>
        <v>0</v>
      </c>
      <c r="P34" s="3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 s="3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4" s="3" cm="1">
        <f t="array" ref="R34">MIN(IF((DiscreteStatsTable[GroupByKey]=DiscreteStatsTable[[#This Row],[GroupByKey]]),(DiscreteStatsTable[GroupByKey]=DiscreteStatsTable[[#This Row],[GroupByKey]])*DiscreteStatsTable[Average]))</f>
        <v>6.6892527211191294E-2</v>
      </c>
      <c r="S34" s="3" cm="1">
        <f t="array" ref="S34">MAX(IF((DiscreteStatsTable[GroupByKey]=DiscreteStatsTable[[#This Row],[GroupByKey]]),(DiscreteStatsTable[GroupByKey]=DiscreteStatsTable[[#This Row],[GroupByKey]])*DiscreteStatsTable[Average]))</f>
        <v>6.6892527211191294E-2</v>
      </c>
      <c r="T34" s="3" cm="1">
        <f t="array" ref="T34">MIN(IF((DiscreteStatsTable[GroupByKey]=DiscreteStatsTable[[#This Row],[GroupByKey]]),(DiscreteStatsTable[GroupByKey]=DiscreteStatsTable[[#This Row],[GroupByKey]])*DiscreteStatsTable[Minimum]))</f>
        <v>4.9999999999999802E-2</v>
      </c>
      <c r="U34" s="3" cm="1">
        <f t="array" ref="U34">MAX(IF((DiscreteStatsTable[GroupByKey]=DiscreteStatsTable[[#This Row],[GroupByKey]]),(DiscreteStatsTable[GroupByKey]=DiscreteStatsTable[[#This Row],[GroupByKey]])*DiscreteStatsTable[Maximum]))</f>
        <v>0.162112944795616</v>
      </c>
      <c r="V34" s="3" cm="1">
        <f t="array" ref="V34">IFERROR(AVERAGE(IF((DiscreteStatsTable[GroupByKey]=DiscreteStatsTable[[#This Row],[GroupByKey]]),(DiscreteStatsTable[GroupByKey]=DiscreteStatsTable[[#This Row],[GroupByKey]])*DiscreteStatsTable[NumberObservations])),0)</f>
        <v>174</v>
      </c>
      <c r="W34" s="3">
        <f>IF((DiscreteStatsTable[[#This Row],[RepsRequested]]&gt;1),DiscreteStatsTable[[#This Row],[HalfWidth]],DiscreteStatsTable[[#This Row],[BatchMeansHalfWidth]])</f>
        <v>2E+20</v>
      </c>
      <c r="X34" s="3" cm="1">
        <f t="array" ref="X34">COUNT(IF((DiscreteStatsTable[GroupByKey]=DiscreteStatsTable[[#This Row],[GroupByKey]]),(DiscreteStatsTable[GroupByKey]=DiscreteStatsTable[[#This Row],[GroupByKey]])*DiscreteStatsTable[Replication]))</f>
        <v>1</v>
      </c>
      <c r="Y34" s="3">
        <f>IF(DiscreteStatsTable[[#This Row],[RepsRequested]]=DiscreteStatsTable[[#This Row],[RepsWithStatObserved]],1,0)</f>
        <v>1</v>
      </c>
    </row>
    <row r="35" spans="1:25" x14ac:dyDescent="0.25">
      <c r="A35" t="s">
        <v>67</v>
      </c>
      <c r="B35" t="s">
        <v>69</v>
      </c>
      <c r="C35">
        <v>1</v>
      </c>
      <c r="D35" t="s">
        <v>104</v>
      </c>
      <c r="E35" t="s">
        <v>91</v>
      </c>
      <c r="F35" t="s">
        <v>89</v>
      </c>
      <c r="G35">
        <v>0</v>
      </c>
      <c r="H35">
        <v>2E+20</v>
      </c>
      <c r="I35">
        <v>0</v>
      </c>
      <c r="J35">
        <v>0</v>
      </c>
      <c r="K35">
        <v>174</v>
      </c>
      <c r="L35" t="str">
        <f>DiscreteStatsTable[[#This Row],[ProjectName]]&amp;DiscreteStatsTable[[#This Row],[Name]]&amp;DiscreteStatsTable[[#This Row],[Type]]&amp;DiscreteStatsTable[[#This Row],[Source]]</f>
        <v>Unnamed ProjectTapadoProVA Cost Per EntityProcess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1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0</v>
      </c>
      <c r="O35" s="3" cm="1">
        <f t="array" ref="O35">IFERROR(_xlfn.STDEV.S(IF((DiscreteStatsTable[GroupByKey]=DiscreteStatsTable[[#This Row],[GroupByKey]]),(DiscreteStatsTable[GroupByKey]=DiscreteStatsTable[[#This Row],[GroupByKey]])*DiscreteStatsTable[Average])),0)</f>
        <v>0</v>
      </c>
      <c r="P35" s="3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 s="3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5" s="3" cm="1">
        <f t="array" ref="R35">MIN(IF((DiscreteStatsTable[GroupByKey]=DiscreteStatsTable[[#This Row],[GroupByKey]]),(DiscreteStatsTable[GroupByKey]=DiscreteStatsTable[[#This Row],[GroupByKey]])*DiscreteStatsTable[Average]))</f>
        <v>0</v>
      </c>
      <c r="S35" s="3" cm="1">
        <f t="array" ref="S35">MAX(IF((DiscreteStatsTable[GroupByKey]=DiscreteStatsTable[[#This Row],[GroupByKey]]),(DiscreteStatsTable[GroupByKey]=DiscreteStatsTable[[#This Row],[GroupByKey]])*DiscreteStatsTable[Average]))</f>
        <v>0</v>
      </c>
      <c r="T35" s="3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s="3" cm="1">
        <f t="array" ref="U35">MAX(IF((DiscreteStatsTable[GroupByKey]=DiscreteStatsTable[[#This Row],[GroupByKey]]),(DiscreteStatsTable[GroupByKey]=DiscreteStatsTable[[#This Row],[GroupByKey]])*DiscreteStatsTable[Maximum]))</f>
        <v>0</v>
      </c>
      <c r="V35" s="3" cm="1">
        <f t="array" ref="V35">IFERROR(AVERAGE(IF((DiscreteStatsTable[GroupByKey]=DiscreteStatsTable[[#This Row],[GroupByKey]]),(DiscreteStatsTable[GroupByKey]=DiscreteStatsTable[[#This Row],[GroupByKey]])*DiscreteStatsTable[NumberObservations])),0)</f>
        <v>174</v>
      </c>
      <c r="W35" s="3">
        <f>IF((DiscreteStatsTable[[#This Row],[RepsRequested]]&gt;1),DiscreteStatsTable[[#This Row],[HalfWidth]],DiscreteStatsTable[[#This Row],[BatchMeansHalfWidth]])</f>
        <v>2E+20</v>
      </c>
      <c r="X35" s="3" cm="1">
        <f t="array" ref="X35">COUNT(IF((DiscreteStatsTable[GroupByKey]=DiscreteStatsTable[[#This Row],[GroupByKey]]),(DiscreteStatsTable[GroupByKey]=DiscreteStatsTable[[#This Row],[GroupByKey]])*DiscreteStatsTable[Replication]))</f>
        <v>1</v>
      </c>
      <c r="Y35" s="3">
        <f>IF(DiscreteStatsTable[[#This Row],[RepsRequested]]=DiscreteStatsTable[[#This Row],[RepsWithStatObserved]],1,0)</f>
        <v>1</v>
      </c>
    </row>
    <row r="36" spans="1:25" x14ac:dyDescent="0.25">
      <c r="A36" t="s">
        <v>67</v>
      </c>
      <c r="B36" t="s">
        <v>69</v>
      </c>
      <c r="C36">
        <v>1</v>
      </c>
      <c r="D36" t="s">
        <v>104</v>
      </c>
      <c r="E36" t="s">
        <v>92</v>
      </c>
      <c r="F36" t="s">
        <v>89</v>
      </c>
      <c r="G36">
        <v>5.00000000000001E-2</v>
      </c>
      <c r="H36">
        <v>2E+20</v>
      </c>
      <c r="I36">
        <v>4.9999999999999802E-2</v>
      </c>
      <c r="J36">
        <v>5.0000000000000697E-2</v>
      </c>
      <c r="K36">
        <v>174</v>
      </c>
      <c r="L36" s="3" t="str">
        <f>DiscreteStatsTable[[#This Row],[ProjectName]]&amp;DiscreteStatsTable[[#This Row],[Name]]&amp;DiscreteStatsTable[[#This Row],[Type]]&amp;DiscreteStatsTable[[#This Row],[Source]]</f>
        <v>Unnamed ProjectTapadoProVA Time Per EntityProcess</v>
      </c>
      <c r="M36" s="3" cm="1">
        <f t="array" ref="M36">MAX(IF((ProjectInfoTable[ProjectName]=DiscreteStatsTable[[#This Row],[ProjectName]]),(ProjectInfoTable[ProjectName]=DiscreteStatsTable[[#This Row],[ProjectName]])*ProjectInfoTable[NumberOfReplications]))</f>
        <v>1</v>
      </c>
      <c r="N36" s="3" cm="1">
        <f t="array" ref="N36">IFERROR(AVERAGE(IF((DiscreteStatsTable[GroupByKey]=DiscreteStatsTable[[#This Row],[GroupByKey]]),(DiscreteStatsTable[GroupByKey]=DiscreteStatsTable[[#This Row],[GroupByKey]])*DiscreteStatsTable[Average])),0)</f>
        <v>5.00000000000001E-2</v>
      </c>
      <c r="O36" s="3" cm="1">
        <f t="array" ref="O36">IFERROR(_xlfn.STDEV.S(IF((DiscreteStatsTable[GroupByKey]=DiscreteStatsTable[[#This Row],[GroupByKey]]),(DiscreteStatsTable[GroupByKey]=DiscreteStatsTable[[#This Row],[GroupByKey]])*DiscreteStatsTable[Average])),0)</f>
        <v>0</v>
      </c>
      <c r="P36" s="3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 s="3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6" s="3" cm="1">
        <f t="array" ref="R36">MIN(IF((DiscreteStatsTable[GroupByKey]=DiscreteStatsTable[[#This Row],[GroupByKey]]),(DiscreteStatsTable[GroupByKey]=DiscreteStatsTable[[#This Row],[GroupByKey]])*DiscreteStatsTable[Average]))</f>
        <v>5.00000000000001E-2</v>
      </c>
      <c r="S36" s="3" cm="1">
        <f t="array" ref="S36">MAX(IF((DiscreteStatsTable[GroupByKey]=DiscreteStatsTable[[#This Row],[GroupByKey]]),(DiscreteStatsTable[GroupByKey]=DiscreteStatsTable[[#This Row],[GroupByKey]])*DiscreteStatsTable[Average]))</f>
        <v>5.00000000000001E-2</v>
      </c>
      <c r="T36" s="3" cm="1">
        <f t="array" ref="T36">MIN(IF((DiscreteStatsTable[GroupByKey]=DiscreteStatsTable[[#This Row],[GroupByKey]]),(DiscreteStatsTable[GroupByKey]=DiscreteStatsTable[[#This Row],[GroupByKey]])*DiscreteStatsTable[Minimum]))</f>
        <v>4.9999999999999802E-2</v>
      </c>
      <c r="U36" s="3" cm="1">
        <f t="array" ref="U36">MAX(IF((DiscreteStatsTable[GroupByKey]=DiscreteStatsTable[[#This Row],[GroupByKey]]),(DiscreteStatsTable[GroupByKey]=DiscreteStatsTable[[#This Row],[GroupByKey]])*DiscreteStatsTable[Maximum]))</f>
        <v>5.0000000000000697E-2</v>
      </c>
      <c r="V36" s="3" cm="1">
        <f t="array" ref="V36">IFERROR(AVERAGE(IF((DiscreteStatsTable[GroupByKey]=DiscreteStatsTable[[#This Row],[GroupByKey]]),(DiscreteStatsTable[GroupByKey]=DiscreteStatsTable[[#This Row],[GroupByKey]])*DiscreteStatsTable[NumberObservations])),0)</f>
        <v>174</v>
      </c>
      <c r="W36" s="3">
        <f>IF((DiscreteStatsTable[[#This Row],[RepsRequested]]&gt;1),DiscreteStatsTable[[#This Row],[HalfWidth]],DiscreteStatsTable[[#This Row],[BatchMeansHalfWidth]])</f>
        <v>2E+20</v>
      </c>
      <c r="X36" s="3" cm="1">
        <f t="array" ref="X36">COUNT(IF((DiscreteStatsTable[GroupByKey]=DiscreteStatsTable[[#This Row],[GroupByKey]]),(DiscreteStatsTable[GroupByKey]=DiscreteStatsTable[[#This Row],[GroupByKey]])*DiscreteStatsTable[Replication]))</f>
        <v>1</v>
      </c>
      <c r="Y36" s="3">
        <f>IF(DiscreteStatsTable[[#This Row],[RepsRequested]]=DiscreteStatsTable[[#This Row],[RepsWithStatObserved]],1,0)</f>
        <v>1</v>
      </c>
    </row>
    <row r="37" spans="1:25" x14ac:dyDescent="0.25">
      <c r="A37" t="s">
        <v>67</v>
      </c>
      <c r="B37" t="s">
        <v>69</v>
      </c>
      <c r="C37">
        <v>1</v>
      </c>
      <c r="D37" t="s">
        <v>104</v>
      </c>
      <c r="E37" t="s">
        <v>93</v>
      </c>
      <c r="F37" t="s">
        <v>89</v>
      </c>
      <c r="G37">
        <v>0</v>
      </c>
      <c r="H37">
        <v>2E+20</v>
      </c>
      <c r="I37">
        <v>0</v>
      </c>
      <c r="J37">
        <v>0</v>
      </c>
      <c r="K37">
        <v>174</v>
      </c>
      <c r="L37" s="3" t="str">
        <f>DiscreteStatsTable[[#This Row],[ProjectName]]&amp;DiscreteStatsTable[[#This Row],[Name]]&amp;DiscreteStatsTable[[#This Row],[Type]]&amp;DiscreteStatsTable[[#This Row],[Source]]</f>
        <v>Unnamed ProjectTapadoProWait Cost Per EntityProcess</v>
      </c>
      <c r="M37" s="3" cm="1">
        <f t="array" ref="M37">MAX(IF((ProjectInfoTable[ProjectName]=DiscreteStatsTable[[#This Row],[ProjectName]]),(ProjectInfoTable[ProjectName]=DiscreteStatsTable[[#This Row],[ProjectName]])*ProjectInfoTable[NumberOfReplications]))</f>
        <v>1</v>
      </c>
      <c r="N37" s="3" cm="1">
        <f t="array" ref="N37">IFERROR(AVERAGE(IF((DiscreteStatsTable[GroupByKey]=DiscreteStatsTable[[#This Row],[GroupByKey]]),(DiscreteStatsTable[GroupByKey]=DiscreteStatsTable[[#This Row],[GroupByKey]])*DiscreteStatsTable[Average])),0)</f>
        <v>0</v>
      </c>
      <c r="O37" s="3" cm="1">
        <f t="array" ref="O37">IFERROR(_xlfn.STDEV.S(IF((DiscreteStatsTable[GroupByKey]=DiscreteStatsTable[[#This Row],[GroupByKey]]),(DiscreteStatsTable[GroupByKey]=DiscreteStatsTable[[#This Row],[GroupByKey]])*DiscreteStatsTable[Average])),0)</f>
        <v>0</v>
      </c>
      <c r="P37" s="3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 s="3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7" s="3" cm="1">
        <f t="array" ref="R37">MIN(IF((DiscreteStatsTable[GroupByKey]=DiscreteStatsTable[[#This Row],[GroupByKey]]),(DiscreteStatsTable[GroupByKey]=DiscreteStatsTable[[#This Row],[GroupByKey]])*DiscreteStatsTable[Average]))</f>
        <v>0</v>
      </c>
      <c r="S37" s="3" cm="1">
        <f t="array" ref="S37">MAX(IF((DiscreteStatsTable[GroupByKey]=DiscreteStatsTable[[#This Row],[GroupByKey]]),(DiscreteStatsTable[GroupByKey]=DiscreteStatsTable[[#This Row],[GroupByKey]])*DiscreteStatsTable[Average]))</f>
        <v>0</v>
      </c>
      <c r="T37" s="3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s="3" cm="1">
        <f t="array" ref="U37">MAX(IF((DiscreteStatsTable[GroupByKey]=DiscreteStatsTable[[#This Row],[GroupByKey]]),(DiscreteStatsTable[GroupByKey]=DiscreteStatsTable[[#This Row],[GroupByKey]])*DiscreteStatsTable[Maximum]))</f>
        <v>0</v>
      </c>
      <c r="V37" s="3" cm="1">
        <f t="array" ref="V37">IFERROR(AVERAGE(IF((DiscreteStatsTable[GroupByKey]=DiscreteStatsTable[[#This Row],[GroupByKey]]),(DiscreteStatsTable[GroupByKey]=DiscreteStatsTable[[#This Row],[GroupByKey]])*DiscreteStatsTable[NumberObservations])),0)</f>
        <v>174</v>
      </c>
      <c r="W37" s="3">
        <f>IF((DiscreteStatsTable[[#This Row],[RepsRequested]]&gt;1),DiscreteStatsTable[[#This Row],[HalfWidth]],DiscreteStatsTable[[#This Row],[BatchMeansHalfWidth]])</f>
        <v>2E+20</v>
      </c>
      <c r="X37" s="3" cm="1">
        <f t="array" ref="X37">COUNT(IF((DiscreteStatsTable[GroupByKey]=DiscreteStatsTable[[#This Row],[GroupByKey]]),(DiscreteStatsTable[GroupByKey]=DiscreteStatsTable[[#This Row],[GroupByKey]])*DiscreteStatsTable[Replication]))</f>
        <v>1</v>
      </c>
      <c r="Y37" s="3">
        <f>IF(DiscreteStatsTable[[#This Row],[RepsRequested]]=DiscreteStatsTable[[#This Row],[RepsWithStatObserved]],1,0)</f>
        <v>1</v>
      </c>
    </row>
    <row r="38" spans="1:25" x14ac:dyDescent="0.25">
      <c r="A38" t="s">
        <v>67</v>
      </c>
      <c r="B38" t="s">
        <v>69</v>
      </c>
      <c r="C38">
        <v>1</v>
      </c>
      <c r="D38" t="s">
        <v>104</v>
      </c>
      <c r="E38" t="s">
        <v>94</v>
      </c>
      <c r="F38" t="s">
        <v>89</v>
      </c>
      <c r="G38">
        <v>1.6892527211191301E-2</v>
      </c>
      <c r="H38">
        <v>2E+20</v>
      </c>
      <c r="I38">
        <v>0</v>
      </c>
      <c r="J38">
        <v>0.112112944795616</v>
      </c>
      <c r="K38">
        <v>174</v>
      </c>
      <c r="L38" s="3" t="str">
        <f>DiscreteStatsTable[[#This Row],[ProjectName]]&amp;DiscreteStatsTable[[#This Row],[Name]]&amp;DiscreteStatsTable[[#This Row],[Type]]&amp;DiscreteStatsTable[[#This Row],[Source]]</f>
        <v>Unnamed ProjectTapadoProWait Time Per EntityProcess</v>
      </c>
      <c r="M38" s="3" cm="1">
        <f t="array" ref="M38">MAX(IF((ProjectInfoTable[ProjectName]=DiscreteStatsTable[[#This Row],[ProjectName]]),(ProjectInfoTable[ProjectName]=DiscreteStatsTable[[#This Row],[ProjectName]])*ProjectInfoTable[NumberOfReplications]))</f>
        <v>1</v>
      </c>
      <c r="N38" s="3" cm="1">
        <f t="array" ref="N38">IFERROR(AVERAGE(IF((DiscreteStatsTable[GroupByKey]=DiscreteStatsTable[[#This Row],[GroupByKey]]),(DiscreteStatsTable[GroupByKey]=DiscreteStatsTable[[#This Row],[GroupByKey]])*DiscreteStatsTable[Average])),0)</f>
        <v>1.6892527211191301E-2</v>
      </c>
      <c r="O38" s="3" cm="1">
        <f t="array" ref="O38">IFERROR(_xlfn.STDEV.S(IF((DiscreteStatsTable[GroupByKey]=DiscreteStatsTable[[#This Row],[GroupByKey]]),(DiscreteStatsTable[GroupByKey]=DiscreteStatsTable[[#This Row],[GroupByKey]])*DiscreteStatsTable[Average])),0)</f>
        <v>0</v>
      </c>
      <c r="P38" s="3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 s="3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8" s="3" cm="1">
        <f t="array" ref="R38">MIN(IF((DiscreteStatsTable[GroupByKey]=DiscreteStatsTable[[#This Row],[GroupByKey]]),(DiscreteStatsTable[GroupByKey]=DiscreteStatsTable[[#This Row],[GroupByKey]])*DiscreteStatsTable[Average]))</f>
        <v>1.6892527211191301E-2</v>
      </c>
      <c r="S38" s="3" cm="1">
        <f t="array" ref="S38">MAX(IF((DiscreteStatsTable[GroupByKey]=DiscreteStatsTable[[#This Row],[GroupByKey]]),(DiscreteStatsTable[GroupByKey]=DiscreteStatsTable[[#This Row],[GroupByKey]])*DiscreteStatsTable[Average]))</f>
        <v>1.6892527211191301E-2</v>
      </c>
      <c r="T38" s="3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s="3" cm="1">
        <f t="array" ref="U38">MAX(IF((DiscreteStatsTable[GroupByKey]=DiscreteStatsTable[[#This Row],[GroupByKey]]),(DiscreteStatsTable[GroupByKey]=DiscreteStatsTable[[#This Row],[GroupByKey]])*DiscreteStatsTable[Maximum]))</f>
        <v>0.112112944795616</v>
      </c>
      <c r="V38" s="3" cm="1">
        <f t="array" ref="V38">IFERROR(AVERAGE(IF((DiscreteStatsTable[GroupByKey]=DiscreteStatsTable[[#This Row],[GroupByKey]]),(DiscreteStatsTable[GroupByKey]=DiscreteStatsTable[[#This Row],[GroupByKey]])*DiscreteStatsTable[NumberObservations])),0)</f>
        <v>174</v>
      </c>
      <c r="W38" s="3">
        <f>IF((DiscreteStatsTable[[#This Row],[RepsRequested]]&gt;1),DiscreteStatsTable[[#This Row],[HalfWidth]],DiscreteStatsTable[[#This Row],[BatchMeansHalfWidth]])</f>
        <v>2E+20</v>
      </c>
      <c r="X38" s="3" cm="1">
        <f t="array" ref="X38">COUNT(IF((DiscreteStatsTable[GroupByKey]=DiscreteStatsTable[[#This Row],[GroupByKey]]),(DiscreteStatsTable[GroupByKey]=DiscreteStatsTable[[#This Row],[GroupByKey]])*DiscreteStatsTable[Replication]))</f>
        <v>1</v>
      </c>
      <c r="Y38" s="3">
        <f>IF(DiscreteStatsTable[[#This Row],[RepsRequested]]=DiscreteStatsTable[[#This Row],[RepsWithStatObserved]],1,0)</f>
        <v>1</v>
      </c>
    </row>
    <row r="39" spans="1:25" x14ac:dyDescent="0.25">
      <c r="A39" t="s">
        <v>67</v>
      </c>
      <c r="B39" t="s">
        <v>69</v>
      </c>
      <c r="C39">
        <v>1</v>
      </c>
      <c r="D39" t="s">
        <v>105</v>
      </c>
      <c r="E39" t="s">
        <v>96</v>
      </c>
      <c r="F39" t="s">
        <v>97</v>
      </c>
      <c r="G39">
        <v>0</v>
      </c>
      <c r="H39">
        <v>2E+20</v>
      </c>
      <c r="I39">
        <v>0</v>
      </c>
      <c r="J39">
        <v>0</v>
      </c>
      <c r="K39">
        <v>174</v>
      </c>
      <c r="L39" s="3" t="str">
        <f>DiscreteStatsTable[[#This Row],[ProjectName]]&amp;DiscreteStatsTable[[#This Row],[Name]]&amp;DiscreteStatsTable[[#This Row],[Type]]&amp;DiscreteStatsTable[[#This Row],[Source]]</f>
        <v>Unnamed ProjectTapadoPro.QueueWaiting CostQueue</v>
      </c>
      <c r="M39" s="3" cm="1">
        <f t="array" ref="M39">MAX(IF((ProjectInfoTable[ProjectName]=DiscreteStatsTable[[#This Row],[ProjectName]]),(ProjectInfoTable[ProjectName]=DiscreteStatsTable[[#This Row],[ProjectName]])*ProjectInfoTable[NumberOfReplications]))</f>
        <v>1</v>
      </c>
      <c r="N39" s="3" cm="1">
        <f t="array" ref="N39">IFERROR(AVERAGE(IF((DiscreteStatsTable[GroupByKey]=DiscreteStatsTable[[#This Row],[GroupByKey]]),(DiscreteStatsTable[GroupByKey]=DiscreteStatsTable[[#This Row],[GroupByKey]])*DiscreteStatsTable[Average])),0)</f>
        <v>0</v>
      </c>
      <c r="O39" s="3" cm="1">
        <f t="array" ref="O39">IFERROR(_xlfn.STDEV.S(IF((DiscreteStatsTable[GroupByKey]=DiscreteStatsTable[[#This Row],[GroupByKey]]),(DiscreteStatsTable[GroupByKey]=DiscreteStatsTable[[#This Row],[GroupByKey]])*DiscreteStatsTable[Average])),0)</f>
        <v>0</v>
      </c>
      <c r="P39" s="3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 s="3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9" s="3" cm="1">
        <f t="array" ref="R39">MIN(IF((DiscreteStatsTable[GroupByKey]=DiscreteStatsTable[[#This Row],[GroupByKey]]),(DiscreteStatsTable[GroupByKey]=DiscreteStatsTable[[#This Row],[GroupByKey]])*DiscreteStatsTable[Average]))</f>
        <v>0</v>
      </c>
      <c r="S39" s="3" cm="1">
        <f t="array" ref="S39">MAX(IF((DiscreteStatsTable[GroupByKey]=DiscreteStatsTable[[#This Row],[GroupByKey]]),(DiscreteStatsTable[GroupByKey]=DiscreteStatsTable[[#This Row],[GroupByKey]])*DiscreteStatsTable[Average]))</f>
        <v>0</v>
      </c>
      <c r="T39" s="3" cm="1">
        <f t="array" ref="T39">MIN(IF((DiscreteStatsTable[GroupByKey]=DiscreteStatsTable[[#This Row],[GroupByKey]]),(DiscreteStatsTable[GroupByKey]=DiscreteStatsTable[[#This Row],[GroupByKey]])*DiscreteStatsTable[Minimum]))</f>
        <v>0</v>
      </c>
      <c r="U39" s="3" cm="1">
        <f t="array" ref="U39">MAX(IF((DiscreteStatsTable[GroupByKey]=DiscreteStatsTable[[#This Row],[GroupByKey]]),(DiscreteStatsTable[GroupByKey]=DiscreteStatsTable[[#This Row],[GroupByKey]])*DiscreteStatsTable[Maximum]))</f>
        <v>0</v>
      </c>
      <c r="V39" s="3" cm="1">
        <f t="array" ref="V39">IFERROR(AVERAGE(IF((DiscreteStatsTable[GroupByKey]=DiscreteStatsTable[[#This Row],[GroupByKey]]),(DiscreteStatsTable[GroupByKey]=DiscreteStatsTable[[#This Row],[GroupByKey]])*DiscreteStatsTable[NumberObservations])),0)</f>
        <v>174</v>
      </c>
      <c r="W39" s="3">
        <f>IF((DiscreteStatsTable[[#This Row],[RepsRequested]]&gt;1),DiscreteStatsTable[[#This Row],[HalfWidth]],DiscreteStatsTable[[#This Row],[BatchMeansHalfWidth]])</f>
        <v>2E+20</v>
      </c>
      <c r="X39" s="3" cm="1">
        <f t="array" ref="X39">COUNT(IF((DiscreteStatsTable[GroupByKey]=DiscreteStatsTable[[#This Row],[GroupByKey]]),(DiscreteStatsTable[GroupByKey]=DiscreteStatsTable[[#This Row],[GroupByKey]])*DiscreteStatsTable[Replication]))</f>
        <v>1</v>
      </c>
      <c r="Y39" s="3">
        <f>IF(DiscreteStatsTable[[#This Row],[RepsRequested]]=DiscreteStatsTable[[#This Row],[RepsWithStatObserved]],1,0)</f>
        <v>1</v>
      </c>
    </row>
    <row r="40" spans="1:25" x14ac:dyDescent="0.25">
      <c r="A40" t="s">
        <v>67</v>
      </c>
      <c r="B40" t="s">
        <v>69</v>
      </c>
      <c r="C40">
        <v>1</v>
      </c>
      <c r="D40" t="s">
        <v>105</v>
      </c>
      <c r="E40" t="s">
        <v>98</v>
      </c>
      <c r="F40" t="s">
        <v>97</v>
      </c>
      <c r="G40">
        <v>1.6892527211191301E-2</v>
      </c>
      <c r="H40">
        <v>2E+20</v>
      </c>
      <c r="I40">
        <v>0</v>
      </c>
      <c r="J40">
        <v>0.112112944795616</v>
      </c>
      <c r="K40">
        <v>174</v>
      </c>
      <c r="L40" s="3" t="str">
        <f>DiscreteStatsTable[[#This Row],[ProjectName]]&amp;DiscreteStatsTable[[#This Row],[Name]]&amp;DiscreteStatsTable[[#This Row],[Type]]&amp;DiscreteStatsTable[[#This Row],[Source]]</f>
        <v>Unnamed ProjectTapadoPro.QueueWaiting TimeQueue</v>
      </c>
      <c r="M40" s="3" cm="1">
        <f t="array" ref="M40">MAX(IF((ProjectInfoTable[ProjectName]=DiscreteStatsTable[[#This Row],[ProjectName]]),(ProjectInfoTable[ProjectName]=DiscreteStatsTable[[#This Row],[ProjectName]])*ProjectInfoTable[NumberOfReplications]))</f>
        <v>1</v>
      </c>
      <c r="N40" s="3" cm="1">
        <f t="array" ref="N40">IFERROR(AVERAGE(IF((DiscreteStatsTable[GroupByKey]=DiscreteStatsTable[[#This Row],[GroupByKey]]),(DiscreteStatsTable[GroupByKey]=DiscreteStatsTable[[#This Row],[GroupByKey]])*DiscreteStatsTable[Average])),0)</f>
        <v>1.6892527211191301E-2</v>
      </c>
      <c r="O40" s="3" cm="1">
        <f t="array" ref="O40">IFERROR(_xlfn.STDEV.S(IF((DiscreteStatsTable[GroupByKey]=DiscreteStatsTable[[#This Row],[GroupByKey]]),(DiscreteStatsTable[GroupByKey]=DiscreteStatsTable[[#This Row],[GroupByKey]])*DiscreteStatsTable[Average])),0)</f>
        <v>0</v>
      </c>
      <c r="P40" s="3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 s="3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0" s="3" cm="1">
        <f t="array" ref="R40">MIN(IF((DiscreteStatsTable[GroupByKey]=DiscreteStatsTable[[#This Row],[GroupByKey]]),(DiscreteStatsTable[GroupByKey]=DiscreteStatsTable[[#This Row],[GroupByKey]])*DiscreteStatsTable[Average]))</f>
        <v>1.6892527211191301E-2</v>
      </c>
      <c r="S40" s="3" cm="1">
        <f t="array" ref="S40">MAX(IF((DiscreteStatsTable[GroupByKey]=DiscreteStatsTable[[#This Row],[GroupByKey]]),(DiscreteStatsTable[GroupByKey]=DiscreteStatsTable[[#This Row],[GroupByKey]])*DiscreteStatsTable[Average]))</f>
        <v>1.6892527211191301E-2</v>
      </c>
      <c r="T40" s="3" cm="1">
        <f t="array" ref="T40">MIN(IF((DiscreteStatsTable[GroupByKey]=DiscreteStatsTable[[#This Row],[GroupByKey]]),(DiscreteStatsTable[GroupByKey]=DiscreteStatsTable[[#This Row],[GroupByKey]])*DiscreteStatsTable[Minimum]))</f>
        <v>0</v>
      </c>
      <c r="U40" s="3" cm="1">
        <f t="array" ref="U40">MAX(IF((DiscreteStatsTable[GroupByKey]=DiscreteStatsTable[[#This Row],[GroupByKey]]),(DiscreteStatsTable[GroupByKey]=DiscreteStatsTable[[#This Row],[GroupByKey]])*DiscreteStatsTable[Maximum]))</f>
        <v>0.112112944795616</v>
      </c>
      <c r="V40" s="3" cm="1">
        <f t="array" ref="V40">IFERROR(AVERAGE(IF((DiscreteStatsTable[GroupByKey]=DiscreteStatsTable[[#This Row],[GroupByKey]]),(DiscreteStatsTable[GroupByKey]=DiscreteStatsTable[[#This Row],[GroupByKey]])*DiscreteStatsTable[NumberObservations])),0)</f>
        <v>174</v>
      </c>
      <c r="W40" s="3">
        <f>IF((DiscreteStatsTable[[#This Row],[RepsRequested]]&gt;1),DiscreteStatsTable[[#This Row],[HalfWidth]],DiscreteStatsTable[[#This Row],[BatchMeansHalfWidth]])</f>
        <v>2E+20</v>
      </c>
      <c r="X40" s="3" cm="1">
        <f t="array" ref="X40">COUNT(IF((DiscreteStatsTable[GroupByKey]=DiscreteStatsTable[[#This Row],[GroupByKey]]),(DiscreteStatsTable[GroupByKey]=DiscreteStatsTable[[#This Row],[GroupByKey]])*DiscreteStatsTable[Replication]))</f>
        <v>1</v>
      </c>
      <c r="Y40" s="3">
        <f>IF(DiscreteStatsTable[[#This Row],[RepsRequested]]=DiscreteStatsTable[[#This Row],[RepsWithStatObserved]],1,0)</f>
        <v>1</v>
      </c>
    </row>
    <row r="41" spans="1:25" x14ac:dyDescent="0.25">
      <c r="A41" t="s">
        <v>67</v>
      </c>
      <c r="B41" t="s">
        <v>69</v>
      </c>
      <c r="C41">
        <v>1</v>
      </c>
      <c r="D41" t="s">
        <v>106</v>
      </c>
      <c r="E41" t="s">
        <v>100</v>
      </c>
      <c r="F41" t="s">
        <v>72</v>
      </c>
      <c r="G41">
        <v>1</v>
      </c>
      <c r="H41">
        <v>2E+20</v>
      </c>
      <c r="I41">
        <v>1</v>
      </c>
      <c r="J41">
        <v>1</v>
      </c>
      <c r="K41">
        <v>174</v>
      </c>
      <c r="L41" s="3" t="str">
        <f>DiscreteStatsTable[[#This Row],[ProjectName]]&amp;DiscreteStatsTable[[#This Row],[Name]]&amp;DiscreteStatsTable[[#This Row],[Type]]&amp;DiscreteStatsTable[[#This Row],[Source]]</f>
        <v>Unnamed ProjectTotal inExpressionUser Specified</v>
      </c>
      <c r="M41" s="3" cm="1">
        <f t="array" ref="M41">MAX(IF((ProjectInfoTable[ProjectName]=DiscreteStatsTable[[#This Row],[ProjectName]]),(ProjectInfoTable[ProjectName]=DiscreteStatsTable[[#This Row],[ProjectName]])*ProjectInfoTable[NumberOfReplications]))</f>
        <v>1</v>
      </c>
      <c r="N41" s="3" cm="1">
        <f t="array" ref="N41">IFERROR(AVERAGE(IF((DiscreteStatsTable[GroupByKey]=DiscreteStatsTable[[#This Row],[GroupByKey]]),(DiscreteStatsTable[GroupByKey]=DiscreteStatsTable[[#This Row],[GroupByKey]])*DiscreteStatsTable[Average])),0)</f>
        <v>1</v>
      </c>
      <c r="O41" s="3" cm="1">
        <f t="array" ref="O41">IFERROR(_xlfn.STDEV.S(IF((DiscreteStatsTable[GroupByKey]=DiscreteStatsTable[[#This Row],[GroupByKey]]),(DiscreteStatsTable[GroupByKey]=DiscreteStatsTable[[#This Row],[GroupByKey]])*DiscreteStatsTable[Average])),0)</f>
        <v>0</v>
      </c>
      <c r="P41" s="3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 s="3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1" s="3" cm="1">
        <f t="array" ref="R41">MIN(IF((DiscreteStatsTable[GroupByKey]=DiscreteStatsTable[[#This Row],[GroupByKey]]),(DiscreteStatsTable[GroupByKey]=DiscreteStatsTable[[#This Row],[GroupByKey]])*DiscreteStatsTable[Average]))</f>
        <v>1</v>
      </c>
      <c r="S41" s="3" cm="1">
        <f t="array" ref="S41">MAX(IF((DiscreteStatsTable[GroupByKey]=DiscreteStatsTable[[#This Row],[GroupByKey]]),(DiscreteStatsTable[GroupByKey]=DiscreteStatsTable[[#This Row],[GroupByKey]])*DiscreteStatsTable[Average]))</f>
        <v>1</v>
      </c>
      <c r="T41" s="3" cm="1">
        <f t="array" ref="T41">MIN(IF((DiscreteStatsTable[GroupByKey]=DiscreteStatsTable[[#This Row],[GroupByKey]]),(DiscreteStatsTable[GroupByKey]=DiscreteStatsTable[[#This Row],[GroupByKey]])*DiscreteStatsTable[Minimum]))</f>
        <v>1</v>
      </c>
      <c r="U41" s="3" cm="1">
        <f t="array" ref="U41">MAX(IF((DiscreteStatsTable[GroupByKey]=DiscreteStatsTable[[#This Row],[GroupByKey]]),(DiscreteStatsTable[GroupByKey]=DiscreteStatsTable[[#This Row],[GroupByKey]])*DiscreteStatsTable[Maximum]))</f>
        <v>1</v>
      </c>
      <c r="V41" s="3" cm="1">
        <f t="array" ref="V41">IFERROR(AVERAGE(IF((DiscreteStatsTable[GroupByKey]=DiscreteStatsTable[[#This Row],[GroupByKey]]),(DiscreteStatsTable[GroupByKey]=DiscreteStatsTable[[#This Row],[GroupByKey]])*DiscreteStatsTable[NumberObservations])),0)</f>
        <v>174</v>
      </c>
      <c r="W41" s="3">
        <f>IF((DiscreteStatsTable[[#This Row],[RepsRequested]]&gt;1),DiscreteStatsTable[[#This Row],[HalfWidth]],DiscreteStatsTable[[#This Row],[BatchMeansHalfWidth]])</f>
        <v>2E+20</v>
      </c>
      <c r="X41" s="3" cm="1">
        <f t="array" ref="X41">COUNT(IF((DiscreteStatsTable[GroupByKey]=DiscreteStatsTable[[#This Row],[GroupByKey]]),(DiscreteStatsTable[GroupByKey]=DiscreteStatsTable[[#This Row],[GroupByKey]])*DiscreteStatsTable[Replication]))</f>
        <v>1</v>
      </c>
      <c r="Y41" s="3">
        <f>IF(DiscreteStatsTable[[#This Row],[RepsRequested]]=DiscreteStatsTable[[#This Row],[RepsWithStatObserved]],1,0)</f>
        <v>1</v>
      </c>
    </row>
    <row r="42" spans="1:25" x14ac:dyDescent="0.25">
      <c r="A42" t="s">
        <v>67</v>
      </c>
      <c r="B42" t="s">
        <v>69</v>
      </c>
      <c r="C42">
        <v>1</v>
      </c>
      <c r="D42" t="s">
        <v>107</v>
      </c>
      <c r="E42" t="s">
        <v>100</v>
      </c>
      <c r="F42" t="s">
        <v>72</v>
      </c>
      <c r="G42">
        <v>1</v>
      </c>
      <c r="H42">
        <v>2E+20</v>
      </c>
      <c r="I42">
        <v>1</v>
      </c>
      <c r="J42">
        <v>1</v>
      </c>
      <c r="K42">
        <v>174</v>
      </c>
      <c r="L42" s="3" t="str">
        <f>DiscreteStatsTable[[#This Row],[ProjectName]]&amp;DiscreteStatsTable[[#This Row],[Name]]&amp;DiscreteStatsTable[[#This Row],[Type]]&amp;DiscreteStatsTable[[#This Row],[Source]]</f>
        <v>Unnamed ProjectTotalesExpressionUser Specified</v>
      </c>
      <c r="M42" s="3" cm="1">
        <f t="array" ref="M42">MAX(IF((ProjectInfoTable[ProjectName]=DiscreteStatsTable[[#This Row],[ProjectName]]),(ProjectInfoTable[ProjectName]=DiscreteStatsTable[[#This Row],[ProjectName]])*ProjectInfoTable[NumberOfReplications]))</f>
        <v>1</v>
      </c>
      <c r="N42" s="3" cm="1">
        <f t="array" ref="N42">IFERROR(AVERAGE(IF((DiscreteStatsTable[GroupByKey]=DiscreteStatsTable[[#This Row],[GroupByKey]]),(DiscreteStatsTable[GroupByKey]=DiscreteStatsTable[[#This Row],[GroupByKey]])*DiscreteStatsTable[Average])),0)</f>
        <v>1</v>
      </c>
      <c r="O42" s="3" cm="1">
        <f t="array" ref="O42">IFERROR(_xlfn.STDEV.S(IF((DiscreteStatsTable[GroupByKey]=DiscreteStatsTable[[#This Row],[GroupByKey]]),(DiscreteStatsTable[GroupByKey]=DiscreteStatsTable[[#This Row],[GroupByKey]])*DiscreteStatsTable[Average])),0)</f>
        <v>0</v>
      </c>
      <c r="P42" s="3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 s="3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2" s="3" cm="1">
        <f t="array" ref="R42">MIN(IF((DiscreteStatsTable[GroupByKey]=DiscreteStatsTable[[#This Row],[GroupByKey]]),(DiscreteStatsTable[GroupByKey]=DiscreteStatsTable[[#This Row],[GroupByKey]])*DiscreteStatsTable[Average]))</f>
        <v>1</v>
      </c>
      <c r="S42" s="3" cm="1">
        <f t="array" ref="S42">MAX(IF((DiscreteStatsTable[GroupByKey]=DiscreteStatsTable[[#This Row],[GroupByKey]]),(DiscreteStatsTable[GroupByKey]=DiscreteStatsTable[[#This Row],[GroupByKey]])*DiscreteStatsTable[Average]))</f>
        <v>1</v>
      </c>
      <c r="T42" s="3" cm="1">
        <f t="array" ref="T42">MIN(IF((DiscreteStatsTable[GroupByKey]=DiscreteStatsTable[[#This Row],[GroupByKey]]),(DiscreteStatsTable[GroupByKey]=DiscreteStatsTable[[#This Row],[GroupByKey]])*DiscreteStatsTable[Minimum]))</f>
        <v>1</v>
      </c>
      <c r="U42" s="3" cm="1">
        <f t="array" ref="U42">MAX(IF((DiscreteStatsTable[GroupByKey]=DiscreteStatsTable[[#This Row],[GroupByKey]]),(DiscreteStatsTable[GroupByKey]=DiscreteStatsTable[[#This Row],[GroupByKey]])*DiscreteStatsTable[Maximum]))</f>
        <v>1</v>
      </c>
      <c r="V42" s="3" cm="1">
        <f t="array" ref="V42">IFERROR(AVERAGE(IF((DiscreteStatsTable[GroupByKey]=DiscreteStatsTable[[#This Row],[GroupByKey]]),(DiscreteStatsTable[GroupByKey]=DiscreteStatsTable[[#This Row],[GroupByKey]])*DiscreteStatsTable[NumberObservations])),0)</f>
        <v>174</v>
      </c>
      <c r="W42" s="3">
        <f>IF((DiscreteStatsTable[[#This Row],[RepsRequested]]&gt;1),DiscreteStatsTable[[#This Row],[HalfWidth]],DiscreteStatsTable[[#This Row],[BatchMeansHalfWidth]])</f>
        <v>2E+20</v>
      </c>
      <c r="X42" s="3" cm="1">
        <f t="array" ref="X42">COUNT(IF((DiscreteStatsTable[GroupByKey]=DiscreteStatsTable[[#This Row],[GroupByKey]]),(DiscreteStatsTable[GroupByKey]=DiscreteStatsTable[[#This Row],[GroupByKey]])*DiscreteStatsTable[Replication]))</f>
        <v>1</v>
      </c>
      <c r="Y42" s="3">
        <f>IF(DiscreteStatsTable[[#This Row],[RepsRequested]]=DiscreteStatsTable[[#This Row],[RepsWithStatObserved]],1,0)</f>
        <v>1</v>
      </c>
    </row>
  </sheetData>
  <phoneticPr fontId="2" type="noConversion"/>
  <conditionalFormatting sqref="H2:H42 Q2:Q42">
    <cfRule type="expression" dxfId="27" priority="23">
      <formula>H2=200000000000000000000</formula>
    </cfRule>
  </conditionalFormatting>
  <conditionalFormatting sqref="H2:H42">
    <cfRule type="expression" dxfId="26" priority="21">
      <formula>H2=300000000000000000000</formula>
    </cfRule>
  </conditionalFormatting>
  <conditionalFormatting sqref="L2:Y42">
    <cfRule type="expression" dxfId="25" priority="19">
      <formula>MOD(ROW(),2)=0</formula>
    </cfRule>
  </conditionalFormatting>
  <conditionalFormatting sqref="Y2:Y42">
    <cfRule type="expression" dxfId="24" priority="14">
      <formula>Y2=0</formula>
    </cfRule>
    <cfRule type="expression" dxfId="23" priority="16">
      <formula>Y2=1</formula>
    </cfRule>
  </conditionalFormatting>
  <conditionalFormatting sqref="Y3:Y42">
    <cfRule type="expression" dxfId="22" priority="15">
      <formula>Y3=1</formula>
    </cfRule>
  </conditionalFormatting>
  <conditionalFormatting sqref="W2:W42">
    <cfRule type="expression" dxfId="21" priority="6">
      <formula>W2=300000000000000000000</formula>
    </cfRule>
    <cfRule type="expression" dxfId="20" priority="7">
      <formula>W2=200000000000000000000</formula>
    </cfRule>
  </conditionalFormatting>
  <conditionalFormatting sqref="Q2:Q42 W2:W42">
    <cfRule type="expression" dxfId="19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4"/>
  <sheetViews>
    <sheetView workbookViewId="0">
      <selection activeCell="D2" sqref="D2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17.85546875" bestFit="1" customWidth="1"/>
    <col min="5" max="5" width="23.57031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0.5703125" bestFit="1" customWidth="1"/>
    <col min="12" max="12" width="12" bestFit="1" customWidth="1"/>
    <col min="13" max="13" width="55" bestFit="1" customWidth="1"/>
    <col min="14" max="14" width="17.28515625" bestFit="1" customWidth="1"/>
    <col min="15" max="15" width="20.28515625" bestFit="1" customWidth="1"/>
    <col min="16" max="16" width="18" bestFit="1" customWidth="1"/>
    <col min="17" max="17" width="20.5703125" bestFit="1" customWidth="1"/>
    <col min="18" max="18" width="12.42578125" bestFit="1" customWidth="1"/>
    <col min="19" max="19" width="19.5703125" bestFit="1" customWidth="1"/>
    <col min="20" max="20" width="19.85546875" bestFit="1" customWidth="1"/>
    <col min="21" max="21" width="21" bestFit="1" customWidth="1"/>
    <col min="22" max="22" width="20" bestFit="1" customWidth="1"/>
  </cols>
  <sheetData>
    <row r="1" spans="1:21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25">
      <c r="A2" t="s">
        <v>67</v>
      </c>
      <c r="B2" t="s">
        <v>69</v>
      </c>
      <c r="C2">
        <v>1</v>
      </c>
      <c r="D2" t="s">
        <v>73</v>
      </c>
      <c r="E2" t="s">
        <v>108</v>
      </c>
      <c r="F2" t="s">
        <v>75</v>
      </c>
      <c r="G2">
        <v>75.034428254618106</v>
      </c>
      <c r="H2">
        <v>3E+20</v>
      </c>
      <c r="I2">
        <v>0</v>
      </c>
      <c r="J2">
        <v>148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ProjectJobsWIPEntity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75.034428254618106</v>
      </c>
      <c r="P2" s="3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s="3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s="3" cm="1">
        <f t="array" ref="S2">MIN(IF((ContinuousStatsTable[GroupByKey]=ContinuousStatsTable[[#This Row],[GroupByKey]]),(ContinuousStatsTable[GroupByKey]=ContinuousStatsTable[[#This Row],[GroupByKey]])*ContinuousStatsTable[Average]))</f>
        <v>75.034428254618106</v>
      </c>
      <c r="T2" s="3" cm="1">
        <f t="array" ref="T2">MAX(IF((ContinuousStatsTable[GroupByKey]=ContinuousStatsTable[[#This Row],[GroupByKey]]),(ContinuousStatsTable[GroupByKey]=ContinuousStatsTable[[#This Row],[GroupByKey]])*ContinuousStatsTable[Average]))</f>
        <v>75.034428254618106</v>
      </c>
      <c r="U2" s="3">
        <f>IF((ContinuousStatsTable[[#This Row],[RepsRequested]]&gt;1),ContinuousStatsTable[[#This Row],[HalfWidth]],ContinuousStatsTable[[#This Row],[BatchMeansHalfWidth]])</f>
        <v>3E+20</v>
      </c>
    </row>
    <row r="3" spans="1:21" x14ac:dyDescent="0.25">
      <c r="A3" t="s">
        <v>67</v>
      </c>
      <c r="B3" t="s">
        <v>69</v>
      </c>
      <c r="C3">
        <v>1</v>
      </c>
      <c r="D3" t="s">
        <v>95</v>
      </c>
      <c r="E3" t="s">
        <v>109</v>
      </c>
      <c r="F3" t="s">
        <v>97</v>
      </c>
      <c r="G3">
        <v>71.5729140069148</v>
      </c>
      <c r="H3">
        <v>3E+20</v>
      </c>
      <c r="I3">
        <v>0</v>
      </c>
      <c r="J3">
        <v>144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ProjectLlegada.QueueNumber WaitingQueue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71.5729140069148</v>
      </c>
      <c r="P3" s="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s="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 s="3" cm="1">
        <f t="array" ref="S3">MIN(IF((ContinuousStatsTable[GroupByKey]=ContinuousStatsTable[[#This Row],[GroupByKey]]),(ContinuousStatsTable[GroupByKey]=ContinuousStatsTable[[#This Row],[GroupByKey]])*ContinuousStatsTable[Average]))</f>
        <v>71.5729140069148</v>
      </c>
      <c r="T3" s="3" cm="1">
        <f t="array" ref="T3">MAX(IF((ContinuousStatsTable[GroupByKey]=ContinuousStatsTable[[#This Row],[GroupByKey]]),(ContinuousStatsTable[GroupByKey]=ContinuousStatsTable[[#This Row],[GroupByKey]])*ContinuousStatsTable[Average]))</f>
        <v>71.5729140069148</v>
      </c>
      <c r="U3" s="3">
        <f>IF((ContinuousStatsTable[[#This Row],[RepsRequested]]&gt;1),ContinuousStatsTable[[#This Row],[HalfWidth]],ContinuousStatsTable[[#This Row],[BatchMeansHalfWidth]])</f>
        <v>3E+20</v>
      </c>
    </row>
    <row r="4" spans="1:21" x14ac:dyDescent="0.25">
      <c r="A4" t="s">
        <v>67</v>
      </c>
      <c r="B4" t="s">
        <v>69</v>
      </c>
      <c r="C4">
        <v>1</v>
      </c>
      <c r="D4" t="s">
        <v>110</v>
      </c>
      <c r="E4" t="s">
        <v>111</v>
      </c>
      <c r="F4" t="s">
        <v>112</v>
      </c>
      <c r="G4">
        <v>0.98699162328154499</v>
      </c>
      <c r="H4">
        <v>2E+20</v>
      </c>
      <c r="I4">
        <v>0</v>
      </c>
      <c r="J4">
        <v>1</v>
      </c>
      <c r="K4">
        <v>0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ProjectLlegarInstantaneous UtilizationResource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0.98699162328154499</v>
      </c>
      <c r="P4" s="3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s="3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 s="3" cm="1">
        <f t="array" ref="S4">MIN(IF((ContinuousStatsTable[GroupByKey]=ContinuousStatsTable[[#This Row],[GroupByKey]]),(ContinuousStatsTable[GroupByKey]=ContinuousStatsTable[[#This Row],[GroupByKey]])*ContinuousStatsTable[Average]))</f>
        <v>0.98699162328154499</v>
      </c>
      <c r="T4" s="3" cm="1">
        <f t="array" ref="T4">MAX(IF((ContinuousStatsTable[GroupByKey]=ContinuousStatsTable[[#This Row],[GroupByKey]]),(ContinuousStatsTable[GroupByKey]=ContinuousStatsTable[[#This Row],[GroupByKey]])*ContinuousStatsTable[Average]))</f>
        <v>0.98699162328154499</v>
      </c>
      <c r="U4" s="3">
        <f>IF((ContinuousStatsTable[[#This Row],[RepsRequested]]&gt;1),ContinuousStatsTable[[#This Row],[HalfWidth]],ContinuousStatsTable[[#This Row],[BatchMeansHalfWidth]])</f>
        <v>2E+20</v>
      </c>
    </row>
    <row r="5" spans="1:21" x14ac:dyDescent="0.25">
      <c r="A5" t="s">
        <v>67</v>
      </c>
      <c r="B5" t="s">
        <v>69</v>
      </c>
      <c r="C5">
        <v>1</v>
      </c>
      <c r="D5" t="s">
        <v>110</v>
      </c>
      <c r="E5" t="s">
        <v>113</v>
      </c>
      <c r="F5" t="s">
        <v>112</v>
      </c>
      <c r="G5">
        <v>0.98699162328154499</v>
      </c>
      <c r="H5">
        <v>2E+20</v>
      </c>
      <c r="I5">
        <v>0</v>
      </c>
      <c r="J5">
        <v>1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ProjectLlegarNumber BusyResource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0.98699162328154499</v>
      </c>
      <c r="P5" s="3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s="3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 s="3" cm="1">
        <f t="array" ref="S5">MIN(IF((ContinuousStatsTable[GroupByKey]=ContinuousStatsTable[[#This Row],[GroupByKey]]),(ContinuousStatsTable[GroupByKey]=ContinuousStatsTable[[#This Row],[GroupByKey]])*ContinuousStatsTable[Average]))</f>
        <v>0.98699162328154499</v>
      </c>
      <c r="T5" s="3" cm="1">
        <f t="array" ref="T5">MAX(IF((ContinuousStatsTable[GroupByKey]=ContinuousStatsTable[[#This Row],[GroupByKey]]),(ContinuousStatsTable[GroupByKey]=ContinuousStatsTable[[#This Row],[GroupByKey]])*ContinuousStatsTable[Average]))</f>
        <v>0.98699162328154499</v>
      </c>
      <c r="U5" s="3">
        <f>IF((ContinuousStatsTable[[#This Row],[RepsRequested]]&gt;1),ContinuousStatsTable[[#This Row],[HalfWidth]],ContinuousStatsTable[[#This Row],[BatchMeansHalfWidth]])</f>
        <v>2E+20</v>
      </c>
    </row>
    <row r="6" spans="1:21" x14ac:dyDescent="0.25">
      <c r="A6" t="s">
        <v>67</v>
      </c>
      <c r="B6" t="s">
        <v>69</v>
      </c>
      <c r="C6">
        <v>1</v>
      </c>
      <c r="D6" t="s">
        <v>110</v>
      </c>
      <c r="E6" t="s">
        <v>114</v>
      </c>
      <c r="F6" t="s">
        <v>112</v>
      </c>
      <c r="G6">
        <v>1</v>
      </c>
      <c r="H6">
        <v>2E+20</v>
      </c>
      <c r="I6">
        <v>1</v>
      </c>
      <c r="J6">
        <v>1</v>
      </c>
      <c r="K6">
        <v>1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ProjectLlegarNumber ScheduledResource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1</v>
      </c>
      <c r="P6" s="3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s="3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 s="3" cm="1">
        <f t="array" ref="S6">MIN(IF((ContinuousStatsTable[GroupByKey]=ContinuousStatsTable[[#This Row],[GroupByKey]]),(ContinuousStatsTable[GroupByKey]=ContinuousStatsTable[[#This Row],[GroupByKey]])*ContinuousStatsTable[Average]))</f>
        <v>1</v>
      </c>
      <c r="T6" s="3" cm="1">
        <f t="array" ref="T6">MAX(IF((ContinuousStatsTable[GroupByKey]=ContinuousStatsTable[[#This Row],[GroupByKey]]),(ContinuousStatsTable[GroupByKey]=ContinuousStatsTable[[#This Row],[GroupByKey]])*ContinuousStatsTable[Average]))</f>
        <v>1</v>
      </c>
      <c r="U6" s="3">
        <f>IF((ContinuousStatsTable[[#This Row],[RepsRequested]]&gt;1),ContinuousStatsTable[[#This Row],[HalfWidth]],ContinuousStatsTable[[#This Row],[BatchMeansHalfWidth]])</f>
        <v>2E+20</v>
      </c>
    </row>
    <row r="7" spans="1:21" x14ac:dyDescent="0.25">
      <c r="A7" t="s">
        <v>67</v>
      </c>
      <c r="B7" t="s">
        <v>69</v>
      </c>
      <c r="C7">
        <v>1</v>
      </c>
      <c r="D7" t="s">
        <v>103</v>
      </c>
      <c r="E7" t="s">
        <v>109</v>
      </c>
      <c r="F7" t="s">
        <v>97</v>
      </c>
      <c r="G7">
        <v>0.40467350210042102</v>
      </c>
      <c r="H7">
        <v>2E+20</v>
      </c>
      <c r="I7">
        <v>0</v>
      </c>
      <c r="J7">
        <v>3</v>
      </c>
      <c r="K7">
        <v>0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ProjectLlenadoPro.QueueNumber WaitingQueue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0.40467350210042102</v>
      </c>
      <c r="P7" s="3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s="3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" s="3" cm="1">
        <f t="array" ref="S7">MIN(IF((ContinuousStatsTable[GroupByKey]=ContinuousStatsTable[[#This Row],[GroupByKey]]),(ContinuousStatsTable[GroupByKey]=ContinuousStatsTable[[#This Row],[GroupByKey]])*ContinuousStatsTable[Average]))</f>
        <v>0.40467350210042102</v>
      </c>
      <c r="T7" s="3" cm="1">
        <f t="array" ref="T7">MAX(IF((ContinuousStatsTable[GroupByKey]=ContinuousStatsTable[[#This Row],[GroupByKey]]),(ContinuousStatsTable[GroupByKey]=ContinuousStatsTable[[#This Row],[GroupByKey]])*ContinuousStatsTable[Average]))</f>
        <v>0.40467350210042102</v>
      </c>
      <c r="U7" s="3">
        <f>IF((ContinuousStatsTable[[#This Row],[RepsRequested]]&gt;1),ContinuousStatsTable[[#This Row],[HalfWidth]],ContinuousStatsTable[[#This Row],[BatchMeansHalfWidth]])</f>
        <v>2E+20</v>
      </c>
    </row>
    <row r="8" spans="1:21" x14ac:dyDescent="0.25">
      <c r="A8" t="s">
        <v>67</v>
      </c>
      <c r="B8" t="s">
        <v>69</v>
      </c>
      <c r="C8">
        <v>1</v>
      </c>
      <c r="D8" t="s">
        <v>115</v>
      </c>
      <c r="E8" t="s">
        <v>111</v>
      </c>
      <c r="F8" t="s">
        <v>112</v>
      </c>
      <c r="G8">
        <v>0.86860356047184695</v>
      </c>
      <c r="H8">
        <v>2E+20</v>
      </c>
      <c r="I8">
        <v>0</v>
      </c>
      <c r="J8">
        <v>1</v>
      </c>
      <c r="K8">
        <v>0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ProjectLlenarInstantaneous UtilizationResource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1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0.86860356047184695</v>
      </c>
      <c r="P8" s="3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</v>
      </c>
      <c r="Q8" s="3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8" s="3" cm="1">
        <f t="array" ref="S8">MIN(IF((ContinuousStatsTable[GroupByKey]=ContinuousStatsTable[[#This Row],[GroupByKey]]),(ContinuousStatsTable[GroupByKey]=ContinuousStatsTable[[#This Row],[GroupByKey]])*ContinuousStatsTable[Average]))</f>
        <v>0.86860356047184695</v>
      </c>
      <c r="T8" s="3" cm="1">
        <f t="array" ref="T8">MAX(IF((ContinuousStatsTable[GroupByKey]=ContinuousStatsTable[[#This Row],[GroupByKey]]),(ContinuousStatsTable[GroupByKey]=ContinuousStatsTable[[#This Row],[GroupByKey]])*ContinuousStatsTable[Average]))</f>
        <v>0.86860356047184695</v>
      </c>
      <c r="U8" s="3">
        <f>IF((ContinuousStatsTable[[#This Row],[RepsRequested]]&gt;1),ContinuousStatsTable[[#This Row],[HalfWidth]],ContinuousStatsTable[[#This Row],[BatchMeansHalfWidth]])</f>
        <v>2E+20</v>
      </c>
    </row>
    <row r="9" spans="1:21" x14ac:dyDescent="0.25">
      <c r="A9" t="s">
        <v>67</v>
      </c>
      <c r="B9" t="s">
        <v>69</v>
      </c>
      <c r="C9">
        <v>1</v>
      </c>
      <c r="D9" t="s">
        <v>115</v>
      </c>
      <c r="E9" t="s">
        <v>113</v>
      </c>
      <c r="F9" t="s">
        <v>112</v>
      </c>
      <c r="G9">
        <v>0.86860356047184695</v>
      </c>
      <c r="H9">
        <v>2E+20</v>
      </c>
      <c r="I9">
        <v>0</v>
      </c>
      <c r="J9">
        <v>1</v>
      </c>
      <c r="K9">
        <v>0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ProjectLlenarNumber BusyResource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1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0.86860356047184695</v>
      </c>
      <c r="P9" s="3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</v>
      </c>
      <c r="Q9" s="3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9" s="3" cm="1">
        <f t="array" ref="S9">MIN(IF((ContinuousStatsTable[GroupByKey]=ContinuousStatsTable[[#This Row],[GroupByKey]]),(ContinuousStatsTable[GroupByKey]=ContinuousStatsTable[[#This Row],[GroupByKey]])*ContinuousStatsTable[Average]))</f>
        <v>0.86860356047184695</v>
      </c>
      <c r="T9" s="3" cm="1">
        <f t="array" ref="T9">MAX(IF((ContinuousStatsTable[GroupByKey]=ContinuousStatsTable[[#This Row],[GroupByKey]]),(ContinuousStatsTable[GroupByKey]=ContinuousStatsTable[[#This Row],[GroupByKey]])*ContinuousStatsTable[Average]))</f>
        <v>0.86860356047184695</v>
      </c>
      <c r="U9" s="3">
        <f>IF((ContinuousStatsTable[[#This Row],[RepsRequested]]&gt;1),ContinuousStatsTable[[#This Row],[HalfWidth]],ContinuousStatsTable[[#This Row],[BatchMeansHalfWidth]])</f>
        <v>2E+20</v>
      </c>
    </row>
    <row r="10" spans="1:21" x14ac:dyDescent="0.25">
      <c r="A10" t="s">
        <v>67</v>
      </c>
      <c r="B10" t="s">
        <v>69</v>
      </c>
      <c r="C10">
        <v>1</v>
      </c>
      <c r="D10" t="s">
        <v>115</v>
      </c>
      <c r="E10" t="s">
        <v>114</v>
      </c>
      <c r="F10" t="s">
        <v>112</v>
      </c>
      <c r="G10">
        <v>1</v>
      </c>
      <c r="H10">
        <v>2E+20</v>
      </c>
      <c r="I10">
        <v>1</v>
      </c>
      <c r="J10">
        <v>1</v>
      </c>
      <c r="K10">
        <v>1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ProjectLlenarNumber ScheduledResource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1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1</v>
      </c>
      <c r="P10" s="3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s="3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0" s="3" cm="1">
        <f t="array" ref="S10">MIN(IF((ContinuousStatsTable[GroupByKey]=ContinuousStatsTable[[#This Row],[GroupByKey]]),(ContinuousStatsTable[GroupByKey]=ContinuousStatsTable[[#This Row],[GroupByKey]])*ContinuousStatsTable[Average]))</f>
        <v>1</v>
      </c>
      <c r="T10" s="3" cm="1">
        <f t="array" ref="T10">MAX(IF((ContinuousStatsTable[GroupByKey]=ContinuousStatsTable[[#This Row],[GroupByKey]]),(ContinuousStatsTable[GroupByKey]=ContinuousStatsTable[[#This Row],[GroupByKey]])*ContinuousStatsTable[Average]))</f>
        <v>1</v>
      </c>
      <c r="U10" s="3">
        <f>IF((ContinuousStatsTable[[#This Row],[RepsRequested]]&gt;1),ContinuousStatsTable[[#This Row],[HalfWidth]],ContinuousStatsTable[[#This Row],[BatchMeansHalfWidth]])</f>
        <v>2E+20</v>
      </c>
    </row>
    <row r="11" spans="1:21" x14ac:dyDescent="0.25">
      <c r="A11" t="s">
        <v>67</v>
      </c>
      <c r="B11" t="s">
        <v>69</v>
      </c>
      <c r="C11">
        <v>1</v>
      </c>
      <c r="D11" t="s">
        <v>105</v>
      </c>
      <c r="E11" t="s">
        <v>109</v>
      </c>
      <c r="F11" t="s">
        <v>97</v>
      </c>
      <c r="G11">
        <v>0.303353366763984</v>
      </c>
      <c r="H11">
        <v>2E+20</v>
      </c>
      <c r="I11">
        <v>0</v>
      </c>
      <c r="J11">
        <v>3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ProjectTapadoPro.QueueNumber WaitingQueue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1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0.303353366763984</v>
      </c>
      <c r="P11" s="3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s="3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1" s="3" cm="1">
        <f t="array" ref="S11">MIN(IF((ContinuousStatsTable[GroupByKey]=ContinuousStatsTable[[#This Row],[GroupByKey]]),(ContinuousStatsTable[GroupByKey]=ContinuousStatsTable[[#This Row],[GroupByKey]])*ContinuousStatsTable[Average]))</f>
        <v>0.303353366763984</v>
      </c>
      <c r="T11" s="3" cm="1">
        <f t="array" ref="T11">MAX(IF((ContinuousStatsTable[GroupByKey]=ContinuousStatsTable[[#This Row],[GroupByKey]]),(ContinuousStatsTable[GroupByKey]=ContinuousStatsTable[[#This Row],[GroupByKey]])*ContinuousStatsTable[Average]))</f>
        <v>0.303353366763984</v>
      </c>
      <c r="U11" s="3">
        <f>IF((ContinuousStatsTable[[#This Row],[RepsRequested]]&gt;1),ContinuousStatsTable[[#This Row],[HalfWidth]],ContinuousStatsTable[[#This Row],[BatchMeansHalfWidth]])</f>
        <v>2E+20</v>
      </c>
    </row>
    <row r="12" spans="1:21" x14ac:dyDescent="0.25">
      <c r="A12" t="s">
        <v>67</v>
      </c>
      <c r="B12" t="s">
        <v>69</v>
      </c>
      <c r="C12">
        <v>1</v>
      </c>
      <c r="D12" t="s">
        <v>116</v>
      </c>
      <c r="E12" t="s">
        <v>111</v>
      </c>
      <c r="F12" t="s">
        <v>112</v>
      </c>
      <c r="G12">
        <v>0.89789219508556795</v>
      </c>
      <c r="H12">
        <v>2E+20</v>
      </c>
      <c r="I12">
        <v>0</v>
      </c>
      <c r="J12">
        <v>1</v>
      </c>
      <c r="K12">
        <v>0</v>
      </c>
      <c r="L12">
        <v>0</v>
      </c>
      <c r="M12" t="str">
        <f>ContinuousStatsTable[[#This Row],[ProjectName]]&amp;ContinuousStatsTable[[#This Row],[Name]]&amp;ContinuousStatsTable[[#This Row],[Type]]&amp;ContinuousStatsTable[[#This Row],[Source]]</f>
        <v>Unnamed ProjectTaparInstantaneous UtilizationResource</v>
      </c>
      <c r="N12" cm="1">
        <f t="array" ref="N12">MAX(IF((ProjectInfoTable[ProjectName]=ContinuousStatsTable[[#This Row],[ProjectName]]),(ProjectInfoTable[ProjectName]=ContinuousStatsTable[[#This Row],[ProjectName]])*ProjectInfoTable[NumberOfReplications]))</f>
        <v>1</v>
      </c>
      <c r="O12" cm="1">
        <f t="array" ref="O12">IFERROR(AVERAGE(IF((ContinuousStatsTable[GroupByKey]=ContinuousStatsTable[[#This Row],[GroupByKey]]),(ContinuousStatsTable[GroupByKey]=ContinuousStatsTable[[#This Row],[GroupByKey]])*ContinuousStatsTable[Average])),0)</f>
        <v>0.89789219508556795</v>
      </c>
      <c r="P12" s="3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</v>
      </c>
      <c r="Q12" s="3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2" s="3" cm="1">
        <f t="array" ref="S12">MIN(IF((ContinuousStatsTable[GroupByKey]=ContinuousStatsTable[[#This Row],[GroupByKey]]),(ContinuousStatsTable[GroupByKey]=ContinuousStatsTable[[#This Row],[GroupByKey]])*ContinuousStatsTable[Average]))</f>
        <v>0.89789219508556795</v>
      </c>
      <c r="T12" s="3" cm="1">
        <f t="array" ref="T12">MAX(IF((ContinuousStatsTable[GroupByKey]=ContinuousStatsTable[[#This Row],[GroupByKey]]),(ContinuousStatsTable[GroupByKey]=ContinuousStatsTable[[#This Row],[GroupByKey]])*ContinuousStatsTable[Average]))</f>
        <v>0.89789219508556795</v>
      </c>
      <c r="U12" s="3">
        <f>IF((ContinuousStatsTable[[#This Row],[RepsRequested]]&gt;1),ContinuousStatsTable[[#This Row],[HalfWidth]],ContinuousStatsTable[[#This Row],[BatchMeansHalfWidth]])</f>
        <v>2E+20</v>
      </c>
    </row>
    <row r="13" spans="1:21" x14ac:dyDescent="0.25">
      <c r="A13" t="s">
        <v>67</v>
      </c>
      <c r="B13" t="s">
        <v>69</v>
      </c>
      <c r="C13">
        <v>1</v>
      </c>
      <c r="D13" t="s">
        <v>116</v>
      </c>
      <c r="E13" t="s">
        <v>113</v>
      </c>
      <c r="F13" t="s">
        <v>112</v>
      </c>
      <c r="G13">
        <v>0.89789219508556795</v>
      </c>
      <c r="H13">
        <v>2E+20</v>
      </c>
      <c r="I13">
        <v>0</v>
      </c>
      <c r="J13">
        <v>1</v>
      </c>
      <c r="K13">
        <v>0</v>
      </c>
      <c r="L13">
        <v>0</v>
      </c>
      <c r="M13" t="str">
        <f>ContinuousStatsTable[[#This Row],[ProjectName]]&amp;ContinuousStatsTable[[#This Row],[Name]]&amp;ContinuousStatsTable[[#This Row],[Type]]&amp;ContinuousStatsTable[[#This Row],[Source]]</f>
        <v>Unnamed ProjectTaparNumber BusyResource</v>
      </c>
      <c r="N13" cm="1">
        <f t="array" ref="N13">MAX(IF((ProjectInfoTable[ProjectName]=ContinuousStatsTable[[#This Row],[ProjectName]]),(ProjectInfoTable[ProjectName]=ContinuousStatsTable[[#This Row],[ProjectName]])*ProjectInfoTable[NumberOfReplications]))</f>
        <v>1</v>
      </c>
      <c r="O13" cm="1">
        <f t="array" ref="O13">IFERROR(AVERAGE(IF((ContinuousStatsTable[GroupByKey]=ContinuousStatsTable[[#This Row],[GroupByKey]]),(ContinuousStatsTable[GroupByKey]=ContinuousStatsTable[[#This Row],[GroupByKey]])*ContinuousStatsTable[Average])),0)</f>
        <v>0.89789219508556795</v>
      </c>
      <c r="P13" s="3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0</v>
      </c>
      <c r="Q13" s="3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3" s="3" cm="1">
        <f t="array" ref="S13">MIN(IF((ContinuousStatsTable[GroupByKey]=ContinuousStatsTable[[#This Row],[GroupByKey]]),(ContinuousStatsTable[GroupByKey]=ContinuousStatsTable[[#This Row],[GroupByKey]])*ContinuousStatsTable[Average]))</f>
        <v>0.89789219508556795</v>
      </c>
      <c r="T13" s="3" cm="1">
        <f t="array" ref="T13">MAX(IF((ContinuousStatsTable[GroupByKey]=ContinuousStatsTable[[#This Row],[GroupByKey]]),(ContinuousStatsTable[GroupByKey]=ContinuousStatsTable[[#This Row],[GroupByKey]])*ContinuousStatsTable[Average]))</f>
        <v>0.89789219508556795</v>
      </c>
      <c r="U13" s="3">
        <f>IF((ContinuousStatsTable[[#This Row],[RepsRequested]]&gt;1),ContinuousStatsTable[[#This Row],[HalfWidth]],ContinuousStatsTable[[#This Row],[BatchMeansHalfWidth]])</f>
        <v>2E+20</v>
      </c>
    </row>
    <row r="14" spans="1:21" x14ac:dyDescent="0.25">
      <c r="A14" t="s">
        <v>67</v>
      </c>
      <c r="B14" t="s">
        <v>69</v>
      </c>
      <c r="C14">
        <v>1</v>
      </c>
      <c r="D14" t="s">
        <v>116</v>
      </c>
      <c r="E14" t="s">
        <v>114</v>
      </c>
      <c r="F14" t="s">
        <v>112</v>
      </c>
      <c r="G14">
        <v>1</v>
      </c>
      <c r="H14">
        <v>2E+20</v>
      </c>
      <c r="I14">
        <v>1</v>
      </c>
      <c r="J14">
        <v>1</v>
      </c>
      <c r="K14">
        <v>1</v>
      </c>
      <c r="L14">
        <v>0</v>
      </c>
      <c r="M14" t="str">
        <f>ContinuousStatsTable[[#This Row],[ProjectName]]&amp;ContinuousStatsTable[[#This Row],[Name]]&amp;ContinuousStatsTable[[#This Row],[Type]]&amp;ContinuousStatsTable[[#This Row],[Source]]</f>
        <v>Unnamed ProjectTaparNumber ScheduledResource</v>
      </c>
      <c r="N14" cm="1">
        <f t="array" ref="N14">MAX(IF((ProjectInfoTable[ProjectName]=ContinuousStatsTable[[#This Row],[ProjectName]]),(ProjectInfoTable[ProjectName]=ContinuousStatsTable[[#This Row],[ProjectName]])*ProjectInfoTable[NumberOfReplications]))</f>
        <v>1</v>
      </c>
      <c r="O14" cm="1">
        <f t="array" ref="O14">IFERROR(AVERAGE(IF((ContinuousStatsTable[GroupByKey]=ContinuousStatsTable[[#This Row],[GroupByKey]]),(ContinuousStatsTable[GroupByKey]=ContinuousStatsTable[[#This Row],[GroupByKey]])*ContinuousStatsTable[Average])),0)</f>
        <v>1</v>
      </c>
      <c r="P14" s="3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</v>
      </c>
      <c r="Q14" s="3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4" s="3" cm="1">
        <f t="array" ref="S14">MIN(IF((ContinuousStatsTable[GroupByKey]=ContinuousStatsTable[[#This Row],[GroupByKey]]),(ContinuousStatsTable[GroupByKey]=ContinuousStatsTable[[#This Row],[GroupByKey]])*ContinuousStatsTable[Average]))</f>
        <v>1</v>
      </c>
      <c r="T14" s="3" cm="1">
        <f t="array" ref="T14">MAX(IF((ContinuousStatsTable[GroupByKey]=ContinuousStatsTable[[#This Row],[GroupByKey]]),(ContinuousStatsTable[GroupByKey]=ContinuousStatsTable[[#This Row],[GroupByKey]])*ContinuousStatsTable[Average]))</f>
        <v>1</v>
      </c>
      <c r="U14" s="3">
        <f>IF((ContinuousStatsTable[[#This Row],[RepsRequested]]&gt;1),ContinuousStatsTable[[#This Row],[HalfWidth]],ContinuousStatsTable[[#This Row],[BatchMeansHalfWidth]])</f>
        <v>2E+20</v>
      </c>
    </row>
  </sheetData>
  <phoneticPr fontId="2" type="noConversion"/>
  <conditionalFormatting sqref="H2:H14">
    <cfRule type="expression" dxfId="18" priority="9">
      <formula>H2=200000000000000000000</formula>
    </cfRule>
  </conditionalFormatting>
  <conditionalFormatting sqref="H2:H14">
    <cfRule type="expression" dxfId="17" priority="7">
      <formula>H2=300000000000000000000</formula>
    </cfRule>
  </conditionalFormatting>
  <conditionalFormatting sqref="M2:U14">
    <cfRule type="expression" dxfId="16" priority="5">
      <formula>MOD(ROW(),2)=0</formula>
    </cfRule>
  </conditionalFormatting>
  <conditionalFormatting sqref="U2:U14">
    <cfRule type="expression" dxfId="15" priority="3">
      <formula>U2=200000000000000000000</formula>
    </cfRule>
    <cfRule type="expression" dxfId="14" priority="4">
      <formula>U2=300000000000000000000</formula>
    </cfRule>
  </conditionalFormatting>
  <conditionalFormatting sqref="R2:R14 U2:U14">
    <cfRule type="expression" dxfId="13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2"/>
  <sheetViews>
    <sheetView workbookViewId="0">
      <selection activeCell="G2" sqref="G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7.5703125" bestFit="1" customWidth="1"/>
    <col min="6" max="6" width="9.28515625" bestFit="1" customWidth="1"/>
    <col min="7" max="7" width="17" bestFit="1" customWidth="1"/>
    <col min="8" max="8" width="14.28515625" bestFit="1" customWidth="1"/>
    <col min="9" max="9" width="17.28515625" bestFit="1" customWidth="1"/>
    <col min="10" max="10" width="10.5703125" bestFit="1" customWidth="1"/>
    <col min="11" max="11" width="20" bestFit="1" customWidth="1"/>
    <col min="12" max="12" width="20.5703125" bestFit="1" customWidth="1"/>
    <col min="13" max="13" width="12.42578125" bestFit="1" customWidth="1"/>
    <col min="14" max="14" width="12" bestFit="1" customWidth="1"/>
    <col min="15" max="15" width="12.28515625" bestFit="1" customWidth="1"/>
  </cols>
  <sheetData>
    <row r="1" spans="1:1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  <row r="2" spans="1:15" x14ac:dyDescent="0.25">
      <c r="K2" s="3"/>
      <c r="L2" s="3"/>
      <c r="M2" s="3"/>
      <c r="N2" s="3"/>
      <c r="O2" s="3"/>
    </row>
  </sheetData>
  <phoneticPr fontId="2" type="noConversion"/>
  <conditionalFormatting sqref="H2:O2">
    <cfRule type="expression" dxfId="12" priority="2">
      <formula>MOD(ROW(),2)=0</formula>
    </cfRule>
  </conditionalFormatting>
  <conditionalFormatting sqref="M2">
    <cfRule type="expression" dxfId="11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54"/>
  <sheetViews>
    <sheetView workbookViewId="0">
      <selection activeCell="H2" sqref="H2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27.5703125" bestFit="1" customWidth="1"/>
    <col min="5" max="5" width="20.140625" bestFit="1" customWidth="1"/>
    <col min="6" max="6" width="9.28515625" bestFit="1" customWidth="1"/>
    <col min="7" max="7" width="17" bestFit="1" customWidth="1"/>
    <col min="8" max="8" width="12" bestFit="1" customWidth="1"/>
    <col min="9" max="9" width="69.7109375" bestFit="1" customWidth="1"/>
    <col min="10" max="10" width="17.28515625" bestFit="1" customWidth="1"/>
    <col min="11" max="11" width="12" customWidth="1"/>
    <col min="12" max="12" width="20" bestFit="1" customWidth="1"/>
    <col min="13" max="13" width="20.5703125" bestFit="1" customWidth="1"/>
    <col min="14" max="14" width="12.42578125" bestFit="1" customWidth="1"/>
    <col min="15" max="15" width="12" bestFit="1" customWidth="1"/>
    <col min="16" max="16" width="12.285156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25">
      <c r="A2" t="s">
        <v>67</v>
      </c>
      <c r="B2" t="s">
        <v>69</v>
      </c>
      <c r="C2">
        <v>1</v>
      </c>
      <c r="D2" t="s">
        <v>117</v>
      </c>
      <c r="E2" t="s">
        <v>74</v>
      </c>
      <c r="F2" t="s">
        <v>118</v>
      </c>
      <c r="G2">
        <v>0</v>
      </c>
      <c r="H2">
        <v>0</v>
      </c>
      <c r="I2" t="str">
        <f>OutputTable[[#This Row],[ProjectName]]&amp;OutputTable[[#This Row],[Name]]&amp;OutputTable[[#This Row],[Type]]&amp;OutputTable[[#This Row],[Source]]</f>
        <v>Unnamed ProjectAll Entities.NVACostNVA CostSystem</v>
      </c>
      <c r="J2" cm="1">
        <f t="array" ref="J2">MAX(IF((ProjectInfoTable[ProjectName]=OutputTable[[#This Row],[ProjectName]]),(ProjectInfoTable[ProjectName]=OutputTable[[#This Row],[ProjectName]])*ProjectInfoTable[NumberOfReplications]))</f>
        <v>1</v>
      </c>
      <c r="K2" cm="1">
        <f t="array" ref="K2">IFERROR(AVERAGE(IF((OutputTable[GroupByKey]=OutputTable[[#This Row],[GroupByKey]]),(OutputTable[GroupByKey]=OutputTable[[#This Row],[GroupByKey]])*OutputTable[RecordedValue])),0)</f>
        <v>0</v>
      </c>
      <c r="L2" s="3" cm="1">
        <f t="array" ref="L2">IFERROR(_xlfn.STDEV.S(IF((OutputTable[GroupByKey]=OutputTable[[#This Row],[GroupByKey]]),(OutputTable[GroupByKey]=OutputTable[[#This Row],[GroupByKey]])*OutputTable[RecordedValue])),0)</f>
        <v>0</v>
      </c>
      <c r="M2" s="3" cm="1">
        <f t="array" ref="M2">MAX(IF((ProjectInfoTable[ProjectName]=OutputTable[[#This Row],[ProjectName]]),(ProjectInfoTable[ProjectName]=OutputTable[[#This Row],[ProjectName]])*ProjectInfoTable[ConfidenceInterval]))</f>
        <v>0.95</v>
      </c>
      <c r="N2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s="3" cm="1">
        <f t="array" ref="O2">MIN(IF((OutputTable[GroupByKey]=OutputTable[[#This Row],[GroupByKey]]),(OutputTable[GroupByKey]=OutputTable[[#This Row],[GroupByKey]])*OutputTable[RecordedValue]))</f>
        <v>0</v>
      </c>
      <c r="P2" s="3" cm="1">
        <f t="array" ref="P2">MAX(IF((OutputTable[GroupByKey]=OutputTable[[#This Row],[GroupByKey]]),(OutputTable[GroupByKey]=OutputTable[[#This Row],[GroupByKey]])*OutputTable[RecordedValue]))</f>
        <v>0</v>
      </c>
    </row>
    <row r="3" spans="1:16" x14ac:dyDescent="0.25">
      <c r="A3" t="s">
        <v>67</v>
      </c>
      <c r="B3" t="s">
        <v>69</v>
      </c>
      <c r="C3">
        <v>1</v>
      </c>
      <c r="D3" t="s">
        <v>119</v>
      </c>
      <c r="E3" t="s">
        <v>77</v>
      </c>
      <c r="F3" t="s">
        <v>118</v>
      </c>
      <c r="G3">
        <v>0</v>
      </c>
      <c r="H3">
        <v>0</v>
      </c>
      <c r="I3" t="str">
        <f>OutputTable[[#This Row],[ProjectName]]&amp;OutputTable[[#This Row],[Name]]&amp;OutputTable[[#This Row],[Type]]&amp;OutputTable[[#This Row],[Source]]</f>
        <v>Unnamed ProjectAll Entities.OtherCostOther CostSystem</v>
      </c>
      <c r="J3" cm="1">
        <f t="array" ref="J3">MAX(IF((ProjectInfoTable[ProjectName]=OutputTable[[#This Row],[ProjectName]]),(ProjectInfoTable[ProjectName]=OutputTable[[#This Row],[ProjectName]])*ProjectInfoTable[NumberOfReplications]))</f>
        <v>1</v>
      </c>
      <c r="K3" cm="1">
        <f t="array" ref="K3">IFERROR(AVERAGE(IF((OutputTable[GroupByKey]=OutputTable[[#This Row],[GroupByKey]]),(OutputTable[GroupByKey]=OutputTable[[#This Row],[GroupByKey]])*OutputTable[RecordedValue])),0)</f>
        <v>0</v>
      </c>
      <c r="L3" s="3" cm="1">
        <f t="array" ref="L3">IFERROR(_xlfn.STDEV.S(IF((OutputTable[GroupByKey]=OutputTable[[#This Row],[GroupByKey]]),(OutputTable[GroupByKey]=OutputTable[[#This Row],[GroupByKey]])*OutputTable[RecordedValue])),0)</f>
        <v>0</v>
      </c>
      <c r="M3" s="3" cm="1">
        <f t="array" ref="M3">MAX(IF((ProjectInfoTable[ProjectName]=OutputTable[[#This Row],[ProjectName]]),(ProjectInfoTable[ProjectName]=OutputTable[[#This Row],[ProjectName]])*ProjectInfoTable[ConfidenceInterval]))</f>
        <v>0.95</v>
      </c>
      <c r="N3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s="3" cm="1">
        <f t="array" ref="O3">MIN(IF((OutputTable[GroupByKey]=OutputTable[[#This Row],[GroupByKey]]),(OutputTable[GroupByKey]=OutputTable[[#This Row],[GroupByKey]])*OutputTable[RecordedValue]))</f>
        <v>0</v>
      </c>
      <c r="P3" s="3" cm="1">
        <f t="array" ref="P3">MAX(IF((OutputTable[GroupByKey]=OutputTable[[#This Row],[GroupByKey]]),(OutputTable[GroupByKey]=OutputTable[[#This Row],[GroupByKey]])*OutputTable[RecordedValue]))</f>
        <v>0</v>
      </c>
    </row>
    <row r="4" spans="1:16" x14ac:dyDescent="0.25">
      <c r="A4" t="s">
        <v>67</v>
      </c>
      <c r="B4" t="s">
        <v>69</v>
      </c>
      <c r="C4">
        <v>1</v>
      </c>
      <c r="D4" t="s">
        <v>120</v>
      </c>
      <c r="E4" t="s">
        <v>79</v>
      </c>
      <c r="F4" t="s">
        <v>118</v>
      </c>
      <c r="G4">
        <v>0</v>
      </c>
      <c r="H4">
        <v>0</v>
      </c>
      <c r="I4" t="str">
        <f>OutputTable[[#This Row],[ProjectName]]&amp;OutputTable[[#This Row],[Name]]&amp;OutputTable[[#This Row],[Type]]&amp;OutputTable[[#This Row],[Source]]</f>
        <v>Unnamed ProjectAll Entities.TotalCostTotal CostSystem</v>
      </c>
      <c r="J4" cm="1">
        <f t="array" ref="J4">MAX(IF((ProjectInfoTable[ProjectName]=OutputTable[[#This Row],[ProjectName]]),(ProjectInfoTable[ProjectName]=OutputTable[[#This Row],[ProjectName]])*ProjectInfoTable[NumberOfReplications]))</f>
        <v>1</v>
      </c>
      <c r="K4" cm="1">
        <f t="array" ref="K4">IFERROR(AVERAGE(IF((OutputTable[GroupByKey]=OutputTable[[#This Row],[GroupByKey]]),(OutputTable[GroupByKey]=OutputTable[[#This Row],[GroupByKey]])*OutputTable[RecordedValue])),0)</f>
        <v>0</v>
      </c>
      <c r="L4" s="3" cm="1">
        <f t="array" ref="L4">IFERROR(_xlfn.STDEV.S(IF((OutputTable[GroupByKey]=OutputTable[[#This Row],[GroupByKey]]),(OutputTable[GroupByKey]=OutputTable[[#This Row],[GroupByKey]])*OutputTable[RecordedValue])),0)</f>
        <v>0</v>
      </c>
      <c r="M4" s="3" cm="1">
        <f t="array" ref="M4">MAX(IF((ProjectInfoTable[ProjectName]=OutputTable[[#This Row],[ProjectName]]),(ProjectInfoTable[ProjectName]=OutputTable[[#This Row],[ProjectName]])*ProjectInfoTable[ConfidenceInterval]))</f>
        <v>0.95</v>
      </c>
      <c r="N4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s="3" cm="1">
        <f t="array" ref="O4">MIN(IF((OutputTable[GroupByKey]=OutputTable[[#This Row],[GroupByKey]]),(OutputTable[GroupByKey]=OutputTable[[#This Row],[GroupByKey]])*OutputTable[RecordedValue]))</f>
        <v>0</v>
      </c>
      <c r="P4" s="3" cm="1">
        <f t="array" ref="P4">MAX(IF((OutputTable[GroupByKey]=OutputTable[[#This Row],[GroupByKey]]),(OutputTable[GroupByKey]=OutputTable[[#This Row],[GroupByKey]])*OutputTable[RecordedValue]))</f>
        <v>0</v>
      </c>
    </row>
    <row r="5" spans="1:16" x14ac:dyDescent="0.25">
      <c r="A5" t="s">
        <v>67</v>
      </c>
      <c r="B5" t="s">
        <v>69</v>
      </c>
      <c r="C5">
        <v>1</v>
      </c>
      <c r="D5" t="s">
        <v>121</v>
      </c>
      <c r="E5" t="s">
        <v>122</v>
      </c>
      <c r="F5" t="s">
        <v>118</v>
      </c>
      <c r="G5">
        <v>0</v>
      </c>
      <c r="H5">
        <v>0</v>
      </c>
      <c r="I5" t="str">
        <f>OutputTable[[#This Row],[ProjectName]]&amp;OutputTable[[#This Row],[Name]]&amp;OutputTable[[#This Row],[Type]]&amp;OutputTable[[#This Row],[Source]]</f>
        <v>Unnamed ProjectAll Entities.TranCostTran CostSystem</v>
      </c>
      <c r="J5" cm="1">
        <f t="array" ref="J5">MAX(IF((ProjectInfoTable[ProjectName]=OutputTable[[#This Row],[ProjectName]]),(ProjectInfoTable[ProjectName]=OutputTable[[#This Row],[ProjectName]])*ProjectInfoTable[NumberOfReplications]))</f>
        <v>1</v>
      </c>
      <c r="K5" cm="1">
        <f t="array" ref="K5">IFERROR(AVERAGE(IF((OutputTable[GroupByKey]=OutputTable[[#This Row],[GroupByKey]]),(OutputTable[GroupByKey]=OutputTable[[#This Row],[GroupByKey]])*OutputTable[RecordedValue])),0)</f>
        <v>0</v>
      </c>
      <c r="L5" s="3" cm="1">
        <f t="array" ref="L5">IFERROR(_xlfn.STDEV.S(IF((OutputTable[GroupByKey]=OutputTable[[#This Row],[GroupByKey]]),(OutputTable[GroupByKey]=OutputTable[[#This Row],[GroupByKey]])*OutputTable[RecordedValue])),0)</f>
        <v>0</v>
      </c>
      <c r="M5" s="3" cm="1">
        <f t="array" ref="M5">MAX(IF((ProjectInfoTable[ProjectName]=OutputTable[[#This Row],[ProjectName]]),(ProjectInfoTable[ProjectName]=OutputTable[[#This Row],[ProjectName]])*ProjectInfoTable[ConfidenceInterval]))</f>
        <v>0.95</v>
      </c>
      <c r="N5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 s="3" cm="1">
        <f t="array" ref="O5">MIN(IF((OutputTable[GroupByKey]=OutputTable[[#This Row],[GroupByKey]]),(OutputTable[GroupByKey]=OutputTable[[#This Row],[GroupByKey]])*OutputTable[RecordedValue]))</f>
        <v>0</v>
      </c>
      <c r="P5" s="3" cm="1">
        <f t="array" ref="P5">MAX(IF((OutputTable[GroupByKey]=OutputTable[[#This Row],[GroupByKey]]),(OutputTable[GroupByKey]=OutputTable[[#This Row],[GroupByKey]])*OutputTable[RecordedValue]))</f>
        <v>0</v>
      </c>
    </row>
    <row r="6" spans="1:16" x14ac:dyDescent="0.25">
      <c r="A6" t="s">
        <v>67</v>
      </c>
      <c r="B6" t="s">
        <v>69</v>
      </c>
      <c r="C6">
        <v>1</v>
      </c>
      <c r="D6" t="s">
        <v>123</v>
      </c>
      <c r="E6" t="s">
        <v>83</v>
      </c>
      <c r="F6" t="s">
        <v>118</v>
      </c>
      <c r="G6">
        <v>0</v>
      </c>
      <c r="H6">
        <v>0</v>
      </c>
      <c r="I6" t="str">
        <f>OutputTable[[#This Row],[ProjectName]]&amp;OutputTable[[#This Row],[Name]]&amp;OutputTable[[#This Row],[Type]]&amp;OutputTable[[#This Row],[Source]]</f>
        <v>Unnamed ProjectAll Entities.VACostVA CostSystem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1</v>
      </c>
      <c r="K6" cm="1">
        <f t="array" ref="K6">IFERROR(AVERAGE(IF((OutputTable[GroupByKey]=OutputTable[[#This Row],[GroupByKey]]),(OutputTable[GroupByKey]=OutputTable[[#This Row],[GroupByKey]])*OutputTable[RecordedValue])),0)</f>
        <v>0</v>
      </c>
      <c r="L6" s="3" cm="1">
        <f t="array" ref="L6">IFERROR(_xlfn.STDEV.S(IF((OutputTable[GroupByKey]=OutputTable[[#This Row],[GroupByKey]]),(OutputTable[GroupByKey]=OutputTable[[#This Row],[GroupByKey]])*OutputTable[RecordedValue])),0)</f>
        <v>0</v>
      </c>
      <c r="M6" s="3" cm="1">
        <f t="array" ref="M6">MAX(IF((ProjectInfoTable[ProjectName]=OutputTable[[#This Row],[ProjectName]]),(ProjectInfoTable[ProjectName]=OutputTable[[#This Row],[ProjectName]])*ProjectInfoTable[ConfidenceInterval]))</f>
        <v>0.95</v>
      </c>
      <c r="N6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 s="3" cm="1">
        <f t="array" ref="O6">MIN(IF((OutputTable[GroupByKey]=OutputTable[[#This Row],[GroupByKey]]),(OutputTable[GroupByKey]=OutputTable[[#This Row],[GroupByKey]])*OutputTable[RecordedValue]))</f>
        <v>0</v>
      </c>
      <c r="P6" s="3" cm="1">
        <f t="array" ref="P6">MAX(IF((OutputTable[GroupByKey]=OutputTable[[#This Row],[GroupByKey]]),(OutputTable[GroupByKey]=OutputTable[[#This Row],[GroupByKey]])*OutputTable[RecordedValue]))</f>
        <v>0</v>
      </c>
    </row>
    <row r="7" spans="1:16" x14ac:dyDescent="0.25">
      <c r="A7" t="s">
        <v>67</v>
      </c>
      <c r="B7" t="s">
        <v>69</v>
      </c>
      <c r="C7">
        <v>1</v>
      </c>
      <c r="D7" t="s">
        <v>124</v>
      </c>
      <c r="E7" t="s">
        <v>85</v>
      </c>
      <c r="F7" t="s">
        <v>118</v>
      </c>
      <c r="G7">
        <v>0</v>
      </c>
      <c r="H7">
        <v>0</v>
      </c>
      <c r="I7" t="str">
        <f>OutputTable[[#This Row],[ProjectName]]&amp;OutputTable[[#This Row],[Name]]&amp;OutputTable[[#This Row],[Type]]&amp;OutputTable[[#This Row],[Source]]</f>
        <v>Unnamed ProjectAll Entities.WaitCostWait CostSystem</v>
      </c>
      <c r="J7" cm="1">
        <f t="array" ref="J7">MAX(IF((ProjectInfoTable[ProjectName]=OutputTable[[#This Row],[ProjectName]]),(ProjectInfoTable[ProjectName]=OutputTable[[#This Row],[ProjectName]])*ProjectInfoTable[NumberOfReplications]))</f>
        <v>1</v>
      </c>
      <c r="K7" cm="1">
        <f t="array" ref="K7">IFERROR(AVERAGE(IF((OutputTable[GroupByKey]=OutputTable[[#This Row],[GroupByKey]]),(OutputTable[GroupByKey]=OutputTable[[#This Row],[GroupByKey]])*OutputTable[RecordedValue])),0)</f>
        <v>0</v>
      </c>
      <c r="L7" s="3" cm="1">
        <f t="array" ref="L7">IFERROR(_xlfn.STDEV.S(IF((OutputTable[GroupByKey]=OutputTable[[#This Row],[GroupByKey]]),(OutputTable[GroupByKey]=OutputTable[[#This Row],[GroupByKey]])*OutputTable[RecordedValue])),0)</f>
        <v>0</v>
      </c>
      <c r="M7" s="3" cm="1">
        <f t="array" ref="M7">MAX(IF((ProjectInfoTable[ProjectName]=OutputTable[[#This Row],[ProjectName]]),(ProjectInfoTable[ProjectName]=OutputTable[[#This Row],[ProjectName]])*ProjectInfoTable[ConfidenceInterval]))</f>
        <v>0.95</v>
      </c>
      <c r="N7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7" s="3" cm="1">
        <f t="array" ref="O7">MIN(IF((OutputTable[GroupByKey]=OutputTable[[#This Row],[GroupByKey]]),(OutputTable[GroupByKey]=OutputTable[[#This Row],[GroupByKey]])*OutputTable[RecordedValue]))</f>
        <v>0</v>
      </c>
      <c r="P7" s="3" cm="1">
        <f t="array" ref="P7">MAX(IF((OutputTable[GroupByKey]=OutputTable[[#This Row],[GroupByKey]]),(OutputTable[GroupByKey]=OutputTable[[#This Row],[GroupByKey]])*OutputTable[RecordedValue]))</f>
        <v>0</v>
      </c>
    </row>
    <row r="8" spans="1:16" x14ac:dyDescent="0.25">
      <c r="A8" t="s">
        <v>67</v>
      </c>
      <c r="B8" t="s">
        <v>69</v>
      </c>
      <c r="C8">
        <v>1</v>
      </c>
      <c r="D8" t="s">
        <v>125</v>
      </c>
      <c r="E8" t="s">
        <v>126</v>
      </c>
      <c r="F8" t="s">
        <v>118</v>
      </c>
      <c r="G8">
        <v>0</v>
      </c>
      <c r="H8">
        <v>0</v>
      </c>
      <c r="I8" t="str">
        <f>OutputTable[[#This Row],[ProjectName]]&amp;OutputTable[[#This Row],[Name]]&amp;OutputTable[[#This Row],[Type]]&amp;OutputTable[[#This Row],[Source]]</f>
        <v>Unnamed ProjectAll Resources.BusyCostBusy CostSystem</v>
      </c>
      <c r="J8" cm="1">
        <f t="array" ref="J8">MAX(IF((ProjectInfoTable[ProjectName]=OutputTable[[#This Row],[ProjectName]]),(ProjectInfoTable[ProjectName]=OutputTable[[#This Row],[ProjectName]])*ProjectInfoTable[NumberOfReplications]))</f>
        <v>1</v>
      </c>
      <c r="K8" cm="1">
        <f t="array" ref="K8">IFERROR(AVERAGE(IF((OutputTable[GroupByKey]=OutputTable[[#This Row],[GroupByKey]]),(OutputTable[GroupByKey]=OutputTable[[#This Row],[GroupByKey]])*OutputTable[RecordedValue])),0)</f>
        <v>0</v>
      </c>
      <c r="L8" s="3" cm="1">
        <f t="array" ref="L8">IFERROR(_xlfn.STDEV.S(IF((OutputTable[GroupByKey]=OutputTable[[#This Row],[GroupByKey]]),(OutputTable[GroupByKey]=OutputTable[[#This Row],[GroupByKey]])*OutputTable[RecordedValue])),0)</f>
        <v>0</v>
      </c>
      <c r="M8" s="3" cm="1">
        <f t="array" ref="M8">MAX(IF((ProjectInfoTable[ProjectName]=OutputTable[[#This Row],[ProjectName]]),(ProjectInfoTable[ProjectName]=OutputTable[[#This Row],[ProjectName]])*ProjectInfoTable[ConfidenceInterval]))</f>
        <v>0.95</v>
      </c>
      <c r="N8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8" s="3" cm="1">
        <f t="array" ref="O8">MIN(IF((OutputTable[GroupByKey]=OutputTable[[#This Row],[GroupByKey]]),(OutputTable[GroupByKey]=OutputTable[[#This Row],[GroupByKey]])*OutputTable[RecordedValue]))</f>
        <v>0</v>
      </c>
      <c r="P8" s="3" cm="1">
        <f t="array" ref="P8">MAX(IF((OutputTable[GroupByKey]=OutputTable[[#This Row],[GroupByKey]]),(OutputTable[GroupByKey]=OutputTable[[#This Row],[GroupByKey]])*OutputTable[RecordedValue]))</f>
        <v>0</v>
      </c>
    </row>
    <row r="9" spans="1:16" x14ac:dyDescent="0.25">
      <c r="A9" t="s">
        <v>67</v>
      </c>
      <c r="B9" t="s">
        <v>69</v>
      </c>
      <c r="C9">
        <v>1</v>
      </c>
      <c r="D9" t="s">
        <v>127</v>
      </c>
      <c r="E9" t="s">
        <v>128</v>
      </c>
      <c r="F9" t="s">
        <v>118</v>
      </c>
      <c r="G9">
        <v>0</v>
      </c>
      <c r="H9">
        <v>0</v>
      </c>
      <c r="I9" t="str">
        <f>OutputTable[[#This Row],[ProjectName]]&amp;OutputTable[[#This Row],[Name]]&amp;OutputTable[[#This Row],[Type]]&amp;OutputTable[[#This Row],[Source]]</f>
        <v>Unnamed ProjectAll Resources.IdleCostIdle CostSystem</v>
      </c>
      <c r="J9" cm="1">
        <f t="array" ref="J9">MAX(IF((ProjectInfoTable[ProjectName]=OutputTable[[#This Row],[ProjectName]]),(ProjectInfoTable[ProjectName]=OutputTable[[#This Row],[ProjectName]])*ProjectInfoTable[NumberOfReplications]))</f>
        <v>1</v>
      </c>
      <c r="K9" cm="1">
        <f t="array" ref="K9">IFERROR(AVERAGE(IF((OutputTable[GroupByKey]=OutputTable[[#This Row],[GroupByKey]]),(OutputTable[GroupByKey]=OutputTable[[#This Row],[GroupByKey]])*OutputTable[RecordedValue])),0)</f>
        <v>0</v>
      </c>
      <c r="L9" s="3" cm="1">
        <f t="array" ref="L9">IFERROR(_xlfn.STDEV.S(IF((OutputTable[GroupByKey]=OutputTable[[#This Row],[GroupByKey]]),(OutputTable[GroupByKey]=OutputTable[[#This Row],[GroupByKey]])*OutputTable[RecordedValue])),0)</f>
        <v>0</v>
      </c>
      <c r="M9" s="3" cm="1">
        <f t="array" ref="M9">MAX(IF((ProjectInfoTable[ProjectName]=OutputTable[[#This Row],[ProjectName]]),(ProjectInfoTable[ProjectName]=OutputTable[[#This Row],[ProjectName]])*ProjectInfoTable[ConfidenceInterval]))</f>
        <v>0.95</v>
      </c>
      <c r="N9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9" s="3" cm="1">
        <f t="array" ref="O9">MIN(IF((OutputTable[GroupByKey]=OutputTable[[#This Row],[GroupByKey]]),(OutputTable[GroupByKey]=OutputTable[[#This Row],[GroupByKey]])*OutputTable[RecordedValue]))</f>
        <v>0</v>
      </c>
      <c r="P9" s="3" cm="1">
        <f t="array" ref="P9">MAX(IF((OutputTable[GroupByKey]=OutputTable[[#This Row],[GroupByKey]]),(OutputTable[GroupByKey]=OutputTable[[#This Row],[GroupByKey]])*OutputTable[RecordedValue]))</f>
        <v>0</v>
      </c>
    </row>
    <row r="10" spans="1:16" x14ac:dyDescent="0.25">
      <c r="A10" t="s">
        <v>67</v>
      </c>
      <c r="B10" t="s">
        <v>69</v>
      </c>
      <c r="C10">
        <v>1</v>
      </c>
      <c r="D10" t="s">
        <v>129</v>
      </c>
      <c r="E10" t="s">
        <v>79</v>
      </c>
      <c r="F10" t="s">
        <v>118</v>
      </c>
      <c r="G10">
        <v>0</v>
      </c>
      <c r="H10">
        <v>0</v>
      </c>
      <c r="I10" t="str">
        <f>OutputTable[[#This Row],[ProjectName]]&amp;OutputTable[[#This Row],[Name]]&amp;OutputTable[[#This Row],[Type]]&amp;OutputTable[[#This Row],[Source]]</f>
        <v>Unnamed ProjectAll Resources.TotalCostTotal CostSystem</v>
      </c>
      <c r="J10" cm="1">
        <f t="array" ref="J10">MAX(IF((ProjectInfoTable[ProjectName]=OutputTable[[#This Row],[ProjectName]]),(ProjectInfoTable[ProjectName]=OutputTable[[#This Row],[ProjectName]])*ProjectInfoTable[NumberOfReplications]))</f>
        <v>1</v>
      </c>
      <c r="K10" cm="1">
        <f t="array" ref="K10">IFERROR(AVERAGE(IF((OutputTable[GroupByKey]=OutputTable[[#This Row],[GroupByKey]]),(OutputTable[GroupByKey]=OutputTable[[#This Row],[GroupByKey]])*OutputTable[RecordedValue])),0)</f>
        <v>0</v>
      </c>
      <c r="L10" s="3" cm="1">
        <f t="array" ref="L10">IFERROR(_xlfn.STDEV.S(IF((OutputTable[GroupByKey]=OutputTable[[#This Row],[GroupByKey]]),(OutputTable[GroupByKey]=OutputTable[[#This Row],[GroupByKey]])*OutputTable[RecordedValue])),0)</f>
        <v>0</v>
      </c>
      <c r="M10" s="3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0" s="3" cm="1">
        <f t="array" ref="O10">MIN(IF((OutputTable[GroupByKey]=OutputTable[[#This Row],[GroupByKey]]),(OutputTable[GroupByKey]=OutputTable[[#This Row],[GroupByKey]])*OutputTable[RecordedValue]))</f>
        <v>0</v>
      </c>
      <c r="P10" s="3" cm="1">
        <f t="array" ref="P10">MAX(IF((OutputTable[GroupByKey]=OutputTable[[#This Row],[GroupByKey]]),(OutputTable[GroupByKey]=OutputTable[[#This Row],[GroupByKey]])*OutputTable[RecordedValue]))</f>
        <v>0</v>
      </c>
    </row>
    <row r="11" spans="1:16" x14ac:dyDescent="0.25">
      <c r="A11" t="s">
        <v>67</v>
      </c>
      <c r="B11" t="s">
        <v>69</v>
      </c>
      <c r="C11">
        <v>1</v>
      </c>
      <c r="D11" t="s">
        <v>130</v>
      </c>
      <c r="E11" t="s">
        <v>131</v>
      </c>
      <c r="F11" t="s">
        <v>118</v>
      </c>
      <c r="G11">
        <v>0</v>
      </c>
      <c r="H11">
        <v>0</v>
      </c>
      <c r="I11" t="str">
        <f>OutputTable[[#This Row],[ProjectName]]&amp;OutputTable[[#This Row],[Name]]&amp;OutputTable[[#This Row],[Type]]&amp;OutputTable[[#This Row],[Source]]</f>
        <v>Unnamed ProjectAll Resources.UsageCostUsage CostSystem</v>
      </c>
      <c r="J11" cm="1">
        <f t="array" ref="J11">MAX(IF((ProjectInfoTable[ProjectName]=OutputTable[[#This Row],[ProjectName]]),(ProjectInfoTable[ProjectName]=OutputTable[[#This Row],[ProjectName]])*ProjectInfoTable[NumberOfReplications]))</f>
        <v>1</v>
      </c>
      <c r="K11" cm="1">
        <f t="array" ref="K11">IFERROR(AVERAGE(IF((OutputTable[GroupByKey]=OutputTable[[#This Row],[GroupByKey]]),(OutputTable[GroupByKey]=OutputTable[[#This Row],[GroupByKey]])*OutputTable[RecordedValue])),0)</f>
        <v>0</v>
      </c>
      <c r="L11" s="3" cm="1">
        <f t="array" ref="L11">IFERROR(_xlfn.STDEV.S(IF((OutputTable[GroupByKey]=OutputTable[[#This Row],[GroupByKey]]),(OutputTable[GroupByKey]=OutputTable[[#This Row],[GroupByKey]])*OutputTable[RecordedValue])),0)</f>
        <v>0</v>
      </c>
      <c r="M11" s="3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1" s="3" cm="1">
        <f t="array" ref="O11">MIN(IF((OutputTable[GroupByKey]=OutputTable[[#This Row],[GroupByKey]]),(OutputTable[GroupByKey]=OutputTable[[#This Row],[GroupByKey]])*OutputTable[RecordedValue]))</f>
        <v>0</v>
      </c>
      <c r="P11" s="3" cm="1">
        <f t="array" ref="P11">MAX(IF((OutputTable[GroupByKey]=OutputTable[[#This Row],[GroupByKey]]),(OutputTable[GroupByKey]=OutputTable[[#This Row],[GroupByKey]])*OutputTable[RecordedValue]))</f>
        <v>0</v>
      </c>
    </row>
    <row r="12" spans="1:16" x14ac:dyDescent="0.25">
      <c r="A12" t="s">
        <v>67</v>
      </c>
      <c r="B12" t="s">
        <v>69</v>
      </c>
      <c r="C12">
        <v>1</v>
      </c>
      <c r="D12" t="s">
        <v>132</v>
      </c>
      <c r="E12" t="s">
        <v>133</v>
      </c>
      <c r="F12" t="s">
        <v>75</v>
      </c>
      <c r="G12">
        <v>174</v>
      </c>
      <c r="H12">
        <v>0</v>
      </c>
      <c r="I12" t="str">
        <f>OutputTable[[#This Row],[ProjectName]]&amp;OutputTable[[#This Row],[Name]]&amp;OutputTable[[#This Row],[Type]]&amp;OutputTable[[#This Row],[Source]]</f>
        <v>Unnamed ProjectJobs.NumberInNumber InEntity</v>
      </c>
      <c r="J12" cm="1">
        <f t="array" ref="J12">MAX(IF((ProjectInfoTable[ProjectName]=OutputTable[[#This Row],[ProjectName]]),(ProjectInfoTable[ProjectName]=OutputTable[[#This Row],[ProjectName]])*ProjectInfoTable[NumberOfReplications]))</f>
        <v>1</v>
      </c>
      <c r="K12" cm="1">
        <f t="array" ref="K12">IFERROR(AVERAGE(IF((OutputTable[GroupByKey]=OutputTable[[#This Row],[GroupByKey]]),(OutputTable[GroupByKey]=OutputTable[[#This Row],[GroupByKey]])*OutputTable[RecordedValue])),0)</f>
        <v>174</v>
      </c>
      <c r="L12" s="3" cm="1">
        <f t="array" ref="L12">IFERROR(_xlfn.STDEV.S(IF((OutputTable[GroupByKey]=OutputTable[[#This Row],[GroupByKey]]),(OutputTable[GroupByKey]=OutputTable[[#This Row],[GroupByKey]])*OutputTable[RecordedValue])),0)</f>
        <v>0</v>
      </c>
      <c r="M12" s="3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2" s="3" cm="1">
        <f t="array" ref="O12">MIN(IF((OutputTable[GroupByKey]=OutputTable[[#This Row],[GroupByKey]]),(OutputTable[GroupByKey]=OutputTable[[#This Row],[GroupByKey]])*OutputTable[RecordedValue]))</f>
        <v>174</v>
      </c>
      <c r="P12" s="3" cm="1">
        <f t="array" ref="P12">MAX(IF((OutputTable[GroupByKey]=OutputTable[[#This Row],[GroupByKey]]),(OutputTable[GroupByKey]=OutputTable[[#This Row],[GroupByKey]])*OutputTable[RecordedValue]))</f>
        <v>174</v>
      </c>
    </row>
    <row r="13" spans="1:16" x14ac:dyDescent="0.25">
      <c r="A13" t="s">
        <v>67</v>
      </c>
      <c r="B13" t="s">
        <v>69</v>
      </c>
      <c r="C13">
        <v>1</v>
      </c>
      <c r="D13" t="s">
        <v>134</v>
      </c>
      <c r="E13" t="s">
        <v>135</v>
      </c>
      <c r="F13" t="s">
        <v>75</v>
      </c>
      <c r="G13">
        <v>174</v>
      </c>
      <c r="H13">
        <v>0</v>
      </c>
      <c r="I13" t="str">
        <f>OutputTable[[#This Row],[ProjectName]]&amp;OutputTable[[#This Row],[Name]]&amp;OutputTable[[#This Row],[Type]]&amp;OutputTable[[#This Row],[Source]]</f>
        <v>Unnamed ProjectJobs.NumberOutNumber OutEntity</v>
      </c>
      <c r="J13" cm="1">
        <f t="array" ref="J13">MAX(IF((ProjectInfoTable[ProjectName]=OutputTable[[#This Row],[ProjectName]]),(ProjectInfoTable[ProjectName]=OutputTable[[#This Row],[ProjectName]])*ProjectInfoTable[NumberOfReplications]))</f>
        <v>1</v>
      </c>
      <c r="K13" cm="1">
        <f t="array" ref="K13">IFERROR(AVERAGE(IF((OutputTable[GroupByKey]=OutputTable[[#This Row],[GroupByKey]]),(OutputTable[GroupByKey]=OutputTable[[#This Row],[GroupByKey]])*OutputTable[RecordedValue])),0)</f>
        <v>174</v>
      </c>
      <c r="L13" s="3" cm="1">
        <f t="array" ref="L13">IFERROR(_xlfn.STDEV.S(IF((OutputTable[GroupByKey]=OutputTable[[#This Row],[GroupByKey]]),(OutputTable[GroupByKey]=OutputTable[[#This Row],[GroupByKey]])*OutputTable[RecordedValue])),0)</f>
        <v>0</v>
      </c>
      <c r="M13" s="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3" s="3" cm="1">
        <f t="array" ref="O13">MIN(IF((OutputTable[GroupByKey]=OutputTable[[#This Row],[GroupByKey]]),(OutputTable[GroupByKey]=OutputTable[[#This Row],[GroupByKey]])*OutputTable[RecordedValue]))</f>
        <v>174</v>
      </c>
      <c r="P13" s="3" cm="1">
        <f t="array" ref="P13">MAX(IF((OutputTable[GroupByKey]=OutputTable[[#This Row],[GroupByKey]]),(OutputTable[GroupByKey]=OutputTable[[#This Row],[GroupByKey]])*OutputTable[RecordedValue]))</f>
        <v>174</v>
      </c>
    </row>
    <row r="14" spans="1:16" x14ac:dyDescent="0.25">
      <c r="A14" t="s">
        <v>67</v>
      </c>
      <c r="B14" t="s">
        <v>69</v>
      </c>
      <c r="C14">
        <v>1</v>
      </c>
      <c r="D14" t="s">
        <v>136</v>
      </c>
      <c r="E14" t="s">
        <v>137</v>
      </c>
      <c r="F14" t="s">
        <v>89</v>
      </c>
      <c r="G14">
        <v>0</v>
      </c>
      <c r="H14">
        <v>0</v>
      </c>
      <c r="I14" t="str">
        <f>OutputTable[[#This Row],[ProjectName]]&amp;OutputTable[[#This Row],[Name]]&amp;OutputTable[[#This Row],[Type]]&amp;OutputTable[[#This Row],[Source]]</f>
        <v>Unnamed ProjectLlegada Accum VA CostAccum VA CostProcess</v>
      </c>
      <c r="J14" cm="1">
        <f t="array" ref="J14">MAX(IF((ProjectInfoTable[ProjectName]=OutputTable[[#This Row],[ProjectName]]),(ProjectInfoTable[ProjectName]=OutputTable[[#This Row],[ProjectName]])*ProjectInfoTable[NumberOfReplications]))</f>
        <v>1</v>
      </c>
      <c r="K14" cm="1">
        <f t="array" ref="K14">IFERROR(AVERAGE(IF((OutputTable[GroupByKey]=OutputTable[[#This Row],[GroupByKey]]),(OutputTable[GroupByKey]=OutputTable[[#This Row],[GroupByKey]])*OutputTable[RecordedValue])),0)</f>
        <v>0</v>
      </c>
      <c r="L14" s="3" cm="1">
        <f t="array" ref="L14">IFERROR(_xlfn.STDEV.S(IF((OutputTable[GroupByKey]=OutputTable[[#This Row],[GroupByKey]]),(OutputTable[GroupByKey]=OutputTable[[#This Row],[GroupByKey]])*OutputTable[RecordedValue])),0)</f>
        <v>0</v>
      </c>
      <c r="M14" s="3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4" s="3" cm="1">
        <f t="array" ref="O14">MIN(IF((OutputTable[GroupByKey]=OutputTable[[#This Row],[GroupByKey]]),(OutputTable[GroupByKey]=OutputTable[[#This Row],[GroupByKey]])*OutputTable[RecordedValue]))</f>
        <v>0</v>
      </c>
      <c r="P14" s="3" cm="1">
        <f t="array" ref="P14">MAX(IF((OutputTable[GroupByKey]=OutputTable[[#This Row],[GroupByKey]]),(OutputTable[GroupByKey]=OutputTable[[#This Row],[GroupByKey]])*OutputTable[RecordedValue]))</f>
        <v>0</v>
      </c>
    </row>
    <row r="15" spans="1:16" x14ac:dyDescent="0.25">
      <c r="A15" t="s">
        <v>67</v>
      </c>
      <c r="B15" t="s">
        <v>69</v>
      </c>
      <c r="C15">
        <v>1</v>
      </c>
      <c r="D15" t="s">
        <v>138</v>
      </c>
      <c r="E15" t="s">
        <v>139</v>
      </c>
      <c r="F15" t="s">
        <v>89</v>
      </c>
      <c r="G15">
        <v>9.5633163642001993</v>
      </c>
      <c r="H15">
        <v>0</v>
      </c>
      <c r="I15" t="str">
        <f>OutputTable[[#This Row],[ProjectName]]&amp;OutputTable[[#This Row],[Name]]&amp;OutputTable[[#This Row],[Type]]&amp;OutputTable[[#This Row],[Source]]</f>
        <v>Unnamed ProjectLlegada Accum VA TimeAccum VA TimeProcess</v>
      </c>
      <c r="J15" cm="1">
        <f t="array" ref="J15">MAX(IF((ProjectInfoTable[ProjectName]=OutputTable[[#This Row],[ProjectName]]),(ProjectInfoTable[ProjectName]=OutputTable[[#This Row],[ProjectName]])*ProjectInfoTable[NumberOfReplications]))</f>
        <v>1</v>
      </c>
      <c r="K15" cm="1">
        <f t="array" ref="K15">IFERROR(AVERAGE(IF((OutputTable[GroupByKey]=OutputTable[[#This Row],[GroupByKey]]),(OutputTable[GroupByKey]=OutputTable[[#This Row],[GroupByKey]])*OutputTable[RecordedValue])),0)</f>
        <v>9.5633163642001993</v>
      </c>
      <c r="L15" s="3" cm="1">
        <f t="array" ref="L15">IFERROR(_xlfn.STDEV.S(IF((OutputTable[GroupByKey]=OutputTable[[#This Row],[GroupByKey]]),(OutputTable[GroupByKey]=OutputTable[[#This Row],[GroupByKey]])*OutputTable[RecordedValue])),0)</f>
        <v>0</v>
      </c>
      <c r="M15" s="3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5" s="3" cm="1">
        <f t="array" ref="O15">MIN(IF((OutputTable[GroupByKey]=OutputTable[[#This Row],[GroupByKey]]),(OutputTable[GroupByKey]=OutputTable[[#This Row],[GroupByKey]])*OutputTable[RecordedValue]))</f>
        <v>9.5633163642001993</v>
      </c>
      <c r="P15" s="3" cm="1">
        <f t="array" ref="P15">MAX(IF((OutputTable[GroupByKey]=OutputTable[[#This Row],[GroupByKey]]),(OutputTable[GroupByKey]=OutputTable[[#This Row],[GroupByKey]])*OutputTable[RecordedValue]))</f>
        <v>9.5633163642001993</v>
      </c>
    </row>
    <row r="16" spans="1:16" x14ac:dyDescent="0.25">
      <c r="A16" t="s">
        <v>67</v>
      </c>
      <c r="B16" t="s">
        <v>69</v>
      </c>
      <c r="C16">
        <v>1</v>
      </c>
      <c r="D16" t="s">
        <v>140</v>
      </c>
      <c r="E16" t="s">
        <v>141</v>
      </c>
      <c r="F16" t="s">
        <v>89</v>
      </c>
      <c r="G16">
        <v>0</v>
      </c>
      <c r="H16">
        <v>0</v>
      </c>
      <c r="I16" t="str">
        <f>OutputTable[[#This Row],[ProjectName]]&amp;OutputTable[[#This Row],[Name]]&amp;OutputTable[[#This Row],[Type]]&amp;OutputTable[[#This Row],[Source]]</f>
        <v>Unnamed ProjectLlegada Accum Wait CostAccum Wait CostProcess</v>
      </c>
      <c r="J16" cm="1">
        <f t="array" ref="J16">MAX(IF((ProjectInfoTable[ProjectName]=OutputTable[[#This Row],[ProjectName]]),(ProjectInfoTable[ProjectName]=OutputTable[[#This Row],[ProjectName]])*ProjectInfoTable[NumberOfReplications]))</f>
        <v>1</v>
      </c>
      <c r="K16" cm="1">
        <f t="array" ref="K16">IFERROR(AVERAGE(IF((OutputTable[GroupByKey]=OutputTable[[#This Row],[GroupByKey]]),(OutputTable[GroupByKey]=OutputTable[[#This Row],[GroupByKey]])*OutputTable[RecordedValue])),0)</f>
        <v>0</v>
      </c>
      <c r="L16" s="3" cm="1">
        <f t="array" ref="L16">IFERROR(_xlfn.STDEV.S(IF((OutputTable[GroupByKey]=OutputTable[[#This Row],[GroupByKey]]),(OutputTable[GroupByKey]=OutputTable[[#This Row],[GroupByKey]])*OutputTable[RecordedValue])),0)</f>
        <v>0</v>
      </c>
      <c r="M16" s="3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6" s="3" cm="1">
        <f t="array" ref="O16">MIN(IF((OutputTable[GroupByKey]=OutputTable[[#This Row],[GroupByKey]]),(OutputTable[GroupByKey]=OutputTable[[#This Row],[GroupByKey]])*OutputTable[RecordedValue]))</f>
        <v>0</v>
      </c>
      <c r="P16" s="3" cm="1">
        <f t="array" ref="P16">MAX(IF((OutputTable[GroupByKey]=OutputTable[[#This Row],[GroupByKey]]),(OutputTable[GroupByKey]=OutputTable[[#This Row],[GroupByKey]])*OutputTable[RecordedValue]))</f>
        <v>0</v>
      </c>
    </row>
    <row r="17" spans="1:16" x14ac:dyDescent="0.25">
      <c r="A17" t="s">
        <v>67</v>
      </c>
      <c r="B17" t="s">
        <v>69</v>
      </c>
      <c r="C17">
        <v>1</v>
      </c>
      <c r="D17" t="s">
        <v>142</v>
      </c>
      <c r="E17" t="s">
        <v>143</v>
      </c>
      <c r="F17" t="s">
        <v>89</v>
      </c>
      <c r="G17">
        <v>693.49567271917101</v>
      </c>
      <c r="H17">
        <v>0</v>
      </c>
      <c r="I17" t="str">
        <f>OutputTable[[#This Row],[ProjectName]]&amp;OutputTable[[#This Row],[Name]]&amp;OutputTable[[#This Row],[Type]]&amp;OutputTable[[#This Row],[Source]]</f>
        <v>Unnamed ProjectLlegada Accum Wait TimeAccum Wait TimeProcess</v>
      </c>
      <c r="J17" cm="1">
        <f t="array" ref="J17">MAX(IF((ProjectInfoTable[ProjectName]=OutputTable[[#This Row],[ProjectName]]),(ProjectInfoTable[ProjectName]=OutputTable[[#This Row],[ProjectName]])*ProjectInfoTable[NumberOfReplications]))</f>
        <v>1</v>
      </c>
      <c r="K17" cm="1">
        <f t="array" ref="K17">IFERROR(AVERAGE(IF((OutputTable[GroupByKey]=OutputTable[[#This Row],[GroupByKey]]),(OutputTable[GroupByKey]=OutputTable[[#This Row],[GroupByKey]])*OutputTable[RecordedValue])),0)</f>
        <v>693.49567271917101</v>
      </c>
      <c r="L17" s="3" cm="1">
        <f t="array" ref="L17">IFERROR(_xlfn.STDEV.S(IF((OutputTable[GroupByKey]=OutputTable[[#This Row],[GroupByKey]]),(OutputTable[GroupByKey]=OutputTable[[#This Row],[GroupByKey]])*OutputTable[RecordedValue])),0)</f>
        <v>0</v>
      </c>
      <c r="M17" s="3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7" s="3" cm="1">
        <f t="array" ref="O17">MIN(IF((OutputTable[GroupByKey]=OutputTable[[#This Row],[GroupByKey]]),(OutputTable[GroupByKey]=OutputTable[[#This Row],[GroupByKey]])*OutputTable[RecordedValue]))</f>
        <v>693.49567271917101</v>
      </c>
      <c r="P17" s="3" cm="1">
        <f t="array" ref="P17">MAX(IF((OutputTable[GroupByKey]=OutputTable[[#This Row],[GroupByKey]]),(OutputTable[GroupByKey]=OutputTable[[#This Row],[GroupByKey]])*OutputTable[RecordedValue]))</f>
        <v>693.49567271917101</v>
      </c>
    </row>
    <row r="18" spans="1:16" x14ac:dyDescent="0.25">
      <c r="A18" t="s">
        <v>67</v>
      </c>
      <c r="B18" t="s">
        <v>69</v>
      </c>
      <c r="C18">
        <v>1</v>
      </c>
      <c r="D18" t="s">
        <v>144</v>
      </c>
      <c r="E18" t="s">
        <v>133</v>
      </c>
      <c r="F18" t="s">
        <v>89</v>
      </c>
      <c r="G18">
        <v>174</v>
      </c>
      <c r="H18">
        <v>0</v>
      </c>
      <c r="I18" t="str">
        <f>OutputTable[[#This Row],[ProjectName]]&amp;OutputTable[[#This Row],[Name]]&amp;OutputTable[[#This Row],[Type]]&amp;OutputTable[[#This Row],[Source]]</f>
        <v>Unnamed ProjectLlegada Number InNumber InProcess</v>
      </c>
      <c r="J18" cm="1">
        <f t="array" ref="J18">MAX(IF((ProjectInfoTable[ProjectName]=OutputTable[[#This Row],[ProjectName]]),(ProjectInfoTable[ProjectName]=OutputTable[[#This Row],[ProjectName]])*ProjectInfoTable[NumberOfReplications]))</f>
        <v>1</v>
      </c>
      <c r="K18" cm="1">
        <f t="array" ref="K18">IFERROR(AVERAGE(IF((OutputTable[GroupByKey]=OutputTable[[#This Row],[GroupByKey]]),(OutputTable[GroupByKey]=OutputTable[[#This Row],[GroupByKey]])*OutputTable[RecordedValue])),0)</f>
        <v>174</v>
      </c>
      <c r="L18" s="3" cm="1">
        <f t="array" ref="L18">IFERROR(_xlfn.STDEV.S(IF((OutputTable[GroupByKey]=OutputTable[[#This Row],[GroupByKey]]),(OutputTable[GroupByKey]=OutputTable[[#This Row],[GroupByKey]])*OutputTable[RecordedValue])),0)</f>
        <v>0</v>
      </c>
      <c r="M18" s="3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8" s="3" cm="1">
        <f t="array" ref="O18">MIN(IF((OutputTable[GroupByKey]=OutputTable[[#This Row],[GroupByKey]]),(OutputTable[GroupByKey]=OutputTable[[#This Row],[GroupByKey]])*OutputTable[RecordedValue]))</f>
        <v>174</v>
      </c>
      <c r="P18" s="3" cm="1">
        <f t="array" ref="P18">MAX(IF((OutputTable[GroupByKey]=OutputTable[[#This Row],[GroupByKey]]),(OutputTable[GroupByKey]=OutputTable[[#This Row],[GroupByKey]])*OutputTable[RecordedValue]))</f>
        <v>174</v>
      </c>
    </row>
    <row r="19" spans="1:16" x14ac:dyDescent="0.25">
      <c r="A19" t="s">
        <v>67</v>
      </c>
      <c r="B19" t="s">
        <v>69</v>
      </c>
      <c r="C19">
        <v>1</v>
      </c>
      <c r="D19" t="s">
        <v>145</v>
      </c>
      <c r="E19" t="s">
        <v>135</v>
      </c>
      <c r="F19" t="s">
        <v>89</v>
      </c>
      <c r="G19">
        <v>174</v>
      </c>
      <c r="H19">
        <v>0</v>
      </c>
      <c r="I19" t="str">
        <f>OutputTable[[#This Row],[ProjectName]]&amp;OutputTable[[#This Row],[Name]]&amp;OutputTable[[#This Row],[Type]]&amp;OutputTable[[#This Row],[Source]]</f>
        <v>Unnamed ProjectLlegada Number OutNumber OutProcess</v>
      </c>
      <c r="J19" cm="1">
        <f t="array" ref="J19">MAX(IF((ProjectInfoTable[ProjectName]=OutputTable[[#This Row],[ProjectName]]),(ProjectInfoTable[ProjectName]=OutputTable[[#This Row],[ProjectName]])*ProjectInfoTable[NumberOfReplications]))</f>
        <v>1</v>
      </c>
      <c r="K19" cm="1">
        <f t="array" ref="K19">IFERROR(AVERAGE(IF((OutputTable[GroupByKey]=OutputTable[[#This Row],[GroupByKey]]),(OutputTable[GroupByKey]=OutputTable[[#This Row],[GroupByKey]])*OutputTable[RecordedValue])),0)</f>
        <v>174</v>
      </c>
      <c r="L19" s="3" cm="1">
        <f t="array" ref="L19">IFERROR(_xlfn.STDEV.S(IF((OutputTable[GroupByKey]=OutputTable[[#This Row],[GroupByKey]]),(OutputTable[GroupByKey]=OutputTable[[#This Row],[GroupByKey]])*OutputTable[RecordedValue])),0)</f>
        <v>0</v>
      </c>
      <c r="M19" s="3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9" s="3" cm="1">
        <f t="array" ref="O19">MIN(IF((OutputTable[GroupByKey]=OutputTable[[#This Row],[GroupByKey]]),(OutputTable[GroupByKey]=OutputTable[[#This Row],[GroupByKey]])*OutputTable[RecordedValue]))</f>
        <v>174</v>
      </c>
      <c r="P19" s="3" cm="1">
        <f t="array" ref="P19">MAX(IF((OutputTable[GroupByKey]=OutputTable[[#This Row],[GroupByKey]]),(OutputTable[GroupByKey]=OutputTable[[#This Row],[GroupByKey]])*OutputTable[RecordedValue]))</f>
        <v>174</v>
      </c>
    </row>
    <row r="20" spans="1:16" x14ac:dyDescent="0.25">
      <c r="A20" t="s">
        <v>67</v>
      </c>
      <c r="B20" t="s">
        <v>69</v>
      </c>
      <c r="C20">
        <v>1</v>
      </c>
      <c r="D20" t="s">
        <v>146</v>
      </c>
      <c r="E20" t="s">
        <v>147</v>
      </c>
      <c r="F20" t="s">
        <v>89</v>
      </c>
      <c r="G20">
        <v>0</v>
      </c>
      <c r="H20">
        <v>0</v>
      </c>
      <c r="I20" t="str">
        <f>OutputTable[[#This Row],[ProjectName]]&amp;OutputTable[[#This Row],[Name]]&amp;OutputTable[[#This Row],[Type]]&amp;OutputTable[[#This Row],[Source]]</f>
        <v>Unnamed ProjectLlegada Total Accum CostTotal Accum CostProcess</v>
      </c>
      <c r="J20" cm="1">
        <f t="array" ref="J20">MAX(IF((ProjectInfoTable[ProjectName]=OutputTable[[#This Row],[ProjectName]]),(ProjectInfoTable[ProjectName]=OutputTable[[#This Row],[ProjectName]])*ProjectInfoTable[NumberOfReplications]))</f>
        <v>1</v>
      </c>
      <c r="K20" cm="1">
        <f t="array" ref="K20">IFERROR(AVERAGE(IF((OutputTable[GroupByKey]=OutputTable[[#This Row],[GroupByKey]]),(OutputTable[GroupByKey]=OutputTable[[#This Row],[GroupByKey]])*OutputTable[RecordedValue])),0)</f>
        <v>0</v>
      </c>
      <c r="L20" s="3" cm="1">
        <f t="array" ref="L20">IFERROR(_xlfn.STDEV.S(IF((OutputTable[GroupByKey]=OutputTable[[#This Row],[GroupByKey]]),(OutputTable[GroupByKey]=OutputTable[[#This Row],[GroupByKey]])*OutputTable[RecordedValue])),0)</f>
        <v>0</v>
      </c>
      <c r="M20" s="3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0" s="3" cm="1">
        <f t="array" ref="O20">MIN(IF((OutputTable[GroupByKey]=OutputTable[[#This Row],[GroupByKey]]),(OutputTable[GroupByKey]=OutputTable[[#This Row],[GroupByKey]])*OutputTable[RecordedValue]))</f>
        <v>0</v>
      </c>
      <c r="P20" s="3" cm="1">
        <f t="array" ref="P20">MAX(IF((OutputTable[GroupByKey]=OutputTable[[#This Row],[GroupByKey]]),(OutputTable[GroupByKey]=OutputTable[[#This Row],[GroupByKey]])*OutputTable[RecordedValue]))</f>
        <v>0</v>
      </c>
    </row>
    <row r="21" spans="1:16" x14ac:dyDescent="0.25">
      <c r="A21" t="s">
        <v>67</v>
      </c>
      <c r="B21" t="s">
        <v>69</v>
      </c>
      <c r="C21">
        <v>1</v>
      </c>
      <c r="D21" t="s">
        <v>148</v>
      </c>
      <c r="E21" t="s">
        <v>149</v>
      </c>
      <c r="F21" t="s">
        <v>89</v>
      </c>
      <c r="G21">
        <v>703.05898908337099</v>
      </c>
      <c r="H21">
        <v>0</v>
      </c>
      <c r="I21" t="str">
        <f>OutputTable[[#This Row],[ProjectName]]&amp;OutputTable[[#This Row],[Name]]&amp;OutputTable[[#This Row],[Type]]&amp;OutputTable[[#This Row],[Source]]</f>
        <v>Unnamed ProjectLlegada Total Accum TimeTotal Accum TimeProcess</v>
      </c>
      <c r="J21" cm="1">
        <f t="array" ref="J21">MAX(IF((ProjectInfoTable[ProjectName]=OutputTable[[#This Row],[ProjectName]]),(ProjectInfoTable[ProjectName]=OutputTable[[#This Row],[ProjectName]])*ProjectInfoTable[NumberOfReplications]))</f>
        <v>1</v>
      </c>
      <c r="K21" cm="1">
        <f t="array" ref="K21">IFERROR(AVERAGE(IF((OutputTable[GroupByKey]=OutputTable[[#This Row],[GroupByKey]]),(OutputTable[GroupByKey]=OutputTable[[#This Row],[GroupByKey]])*OutputTable[RecordedValue])),0)</f>
        <v>703.05898908337099</v>
      </c>
      <c r="L21" s="3" cm="1">
        <f t="array" ref="L21">IFERROR(_xlfn.STDEV.S(IF((OutputTable[GroupByKey]=OutputTable[[#This Row],[GroupByKey]]),(OutputTable[GroupByKey]=OutputTable[[#This Row],[GroupByKey]])*OutputTable[RecordedValue])),0)</f>
        <v>0</v>
      </c>
      <c r="M21" s="3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1" s="3" cm="1">
        <f t="array" ref="O21">MIN(IF((OutputTable[GroupByKey]=OutputTable[[#This Row],[GroupByKey]]),(OutputTable[GroupByKey]=OutputTable[[#This Row],[GroupByKey]])*OutputTable[RecordedValue]))</f>
        <v>703.05898908337099</v>
      </c>
      <c r="P21" s="3" cm="1">
        <f t="array" ref="P21">MAX(IF((OutputTable[GroupByKey]=OutputTable[[#This Row],[GroupByKey]]),(OutputTable[GroupByKey]=OutputTable[[#This Row],[GroupByKey]])*OutputTable[RecordedValue]))</f>
        <v>703.05898908337099</v>
      </c>
    </row>
    <row r="22" spans="1:16" x14ac:dyDescent="0.25">
      <c r="A22" t="s">
        <v>67</v>
      </c>
      <c r="B22" t="s">
        <v>69</v>
      </c>
      <c r="C22">
        <v>1</v>
      </c>
      <c r="D22" t="s">
        <v>150</v>
      </c>
      <c r="E22" t="s">
        <v>126</v>
      </c>
      <c r="F22" t="s">
        <v>112</v>
      </c>
      <c r="G22">
        <v>0</v>
      </c>
      <c r="H22">
        <v>0</v>
      </c>
      <c r="I22" t="str">
        <f>OutputTable[[#This Row],[ProjectName]]&amp;OutputTable[[#This Row],[Name]]&amp;OutputTable[[#This Row],[Type]]&amp;OutputTable[[#This Row],[Source]]</f>
        <v>Unnamed ProjectLlegar.BusyCostBusy CostResource</v>
      </c>
      <c r="J22" cm="1">
        <f t="array" ref="J22">MAX(IF((ProjectInfoTable[ProjectName]=OutputTable[[#This Row],[ProjectName]]),(ProjectInfoTable[ProjectName]=OutputTable[[#This Row],[ProjectName]])*ProjectInfoTable[NumberOfReplications]))</f>
        <v>1</v>
      </c>
      <c r="K22" cm="1">
        <f t="array" ref="K22">IFERROR(AVERAGE(IF((OutputTable[GroupByKey]=OutputTable[[#This Row],[GroupByKey]]),(OutputTable[GroupByKey]=OutputTable[[#This Row],[GroupByKey]])*OutputTable[RecordedValue])),0)</f>
        <v>0</v>
      </c>
      <c r="L22" s="3" cm="1">
        <f t="array" ref="L22">IFERROR(_xlfn.STDEV.S(IF((OutputTable[GroupByKey]=OutputTable[[#This Row],[GroupByKey]]),(OutputTable[GroupByKey]=OutputTable[[#This Row],[GroupByKey]])*OutputTable[RecordedValue])),0)</f>
        <v>0</v>
      </c>
      <c r="M22" s="3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2" s="3" cm="1">
        <f t="array" ref="O22">MIN(IF((OutputTable[GroupByKey]=OutputTable[[#This Row],[GroupByKey]]),(OutputTable[GroupByKey]=OutputTable[[#This Row],[GroupByKey]])*OutputTable[RecordedValue]))</f>
        <v>0</v>
      </c>
      <c r="P22" s="3" cm="1">
        <f t="array" ref="P22">MAX(IF((OutputTable[GroupByKey]=OutputTable[[#This Row],[GroupByKey]]),(OutputTable[GroupByKey]=OutputTable[[#This Row],[GroupByKey]])*OutputTable[RecordedValue]))</f>
        <v>0</v>
      </c>
    </row>
    <row r="23" spans="1:16" x14ac:dyDescent="0.25">
      <c r="A23" t="s">
        <v>67</v>
      </c>
      <c r="B23" t="s">
        <v>69</v>
      </c>
      <c r="C23">
        <v>1</v>
      </c>
      <c r="D23" t="s">
        <v>151</v>
      </c>
      <c r="E23" t="s">
        <v>128</v>
      </c>
      <c r="F23" t="s">
        <v>112</v>
      </c>
      <c r="G23">
        <v>0</v>
      </c>
      <c r="H23">
        <v>0</v>
      </c>
      <c r="I23" t="str">
        <f>OutputTable[[#This Row],[ProjectName]]&amp;OutputTable[[#This Row],[Name]]&amp;OutputTable[[#This Row],[Type]]&amp;OutputTable[[#This Row],[Source]]</f>
        <v>Unnamed ProjectLlegar.IdleCostIdle CostResource</v>
      </c>
      <c r="J23" cm="1">
        <f t="array" ref="J23">MAX(IF((ProjectInfoTable[ProjectName]=OutputTable[[#This Row],[ProjectName]]),(ProjectInfoTable[ProjectName]=OutputTable[[#This Row],[ProjectName]])*ProjectInfoTable[NumberOfReplications]))</f>
        <v>1</v>
      </c>
      <c r="K23" cm="1">
        <f t="array" ref="K23">IFERROR(AVERAGE(IF((OutputTable[GroupByKey]=OutputTable[[#This Row],[GroupByKey]]),(OutputTable[GroupByKey]=OutputTable[[#This Row],[GroupByKey]])*OutputTable[RecordedValue])),0)</f>
        <v>0</v>
      </c>
      <c r="L23" s="3" cm="1">
        <f t="array" ref="L23">IFERROR(_xlfn.STDEV.S(IF((OutputTable[GroupByKey]=OutputTable[[#This Row],[GroupByKey]]),(OutputTable[GroupByKey]=OutputTable[[#This Row],[GroupByKey]])*OutputTable[RecordedValue])),0)</f>
        <v>0</v>
      </c>
      <c r="M23" s="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3" s="3" cm="1">
        <f t="array" ref="O23">MIN(IF((OutputTable[GroupByKey]=OutputTable[[#This Row],[GroupByKey]]),(OutputTable[GroupByKey]=OutputTable[[#This Row],[GroupByKey]])*OutputTable[RecordedValue]))</f>
        <v>0</v>
      </c>
      <c r="P23" s="3" cm="1">
        <f t="array" ref="P23">MAX(IF((OutputTable[GroupByKey]=OutputTable[[#This Row],[GroupByKey]]),(OutputTable[GroupByKey]=OutputTable[[#This Row],[GroupByKey]])*OutputTable[RecordedValue]))</f>
        <v>0</v>
      </c>
    </row>
    <row r="24" spans="1:16" x14ac:dyDescent="0.25">
      <c r="A24" t="s">
        <v>67</v>
      </c>
      <c r="B24" t="s">
        <v>69</v>
      </c>
      <c r="C24">
        <v>1</v>
      </c>
      <c r="D24" t="s">
        <v>152</v>
      </c>
      <c r="E24" t="s">
        <v>153</v>
      </c>
      <c r="F24" t="s">
        <v>112</v>
      </c>
      <c r="G24">
        <v>174</v>
      </c>
      <c r="H24">
        <v>0</v>
      </c>
      <c r="I24" t="str">
        <f>OutputTable[[#This Row],[ProjectName]]&amp;OutputTable[[#This Row],[Name]]&amp;OutputTable[[#This Row],[Type]]&amp;OutputTable[[#This Row],[Source]]</f>
        <v>Unnamed ProjectLlegar.NumberSeizedTotal Number SeizedResource</v>
      </c>
      <c r="J24" cm="1">
        <f t="array" ref="J24">MAX(IF((ProjectInfoTable[ProjectName]=OutputTable[[#This Row],[ProjectName]]),(ProjectInfoTable[ProjectName]=OutputTable[[#This Row],[ProjectName]])*ProjectInfoTable[NumberOfReplications]))</f>
        <v>1</v>
      </c>
      <c r="K24" cm="1">
        <f t="array" ref="K24">IFERROR(AVERAGE(IF((OutputTable[GroupByKey]=OutputTable[[#This Row],[GroupByKey]]),(OutputTable[GroupByKey]=OutputTable[[#This Row],[GroupByKey]])*OutputTable[RecordedValue])),0)</f>
        <v>174</v>
      </c>
      <c r="L24" s="3" cm="1">
        <f t="array" ref="L24">IFERROR(_xlfn.STDEV.S(IF((OutputTable[GroupByKey]=OutputTable[[#This Row],[GroupByKey]]),(OutputTable[GroupByKey]=OutputTable[[#This Row],[GroupByKey]])*OutputTable[RecordedValue])),0)</f>
        <v>0</v>
      </c>
      <c r="M24" s="3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4" s="3" cm="1">
        <f t="array" ref="O24">MIN(IF((OutputTable[GroupByKey]=OutputTable[[#This Row],[GroupByKey]]),(OutputTable[GroupByKey]=OutputTable[[#This Row],[GroupByKey]])*OutputTable[RecordedValue]))</f>
        <v>174</v>
      </c>
      <c r="P24" s="3" cm="1">
        <f t="array" ref="P24">MAX(IF((OutputTable[GroupByKey]=OutputTable[[#This Row],[GroupByKey]]),(OutputTable[GroupByKey]=OutputTable[[#This Row],[GroupByKey]])*OutputTable[RecordedValue]))</f>
        <v>174</v>
      </c>
    </row>
    <row r="25" spans="1:16" x14ac:dyDescent="0.25">
      <c r="A25" t="s">
        <v>67</v>
      </c>
      <c r="B25" t="s">
        <v>69</v>
      </c>
      <c r="C25">
        <v>1</v>
      </c>
      <c r="D25" t="s">
        <v>154</v>
      </c>
      <c r="E25" t="s">
        <v>155</v>
      </c>
      <c r="F25" t="s">
        <v>112</v>
      </c>
      <c r="G25">
        <v>0.98699162328154499</v>
      </c>
      <c r="H25">
        <v>0</v>
      </c>
      <c r="I25" t="str">
        <f>OutputTable[[#This Row],[ProjectName]]&amp;OutputTable[[#This Row],[Name]]&amp;OutputTable[[#This Row],[Type]]&amp;OutputTable[[#This Row],[Source]]</f>
        <v>Unnamed ProjectLlegar.ScheduledUtilizationScheduled UtilizationResource</v>
      </c>
      <c r="J25" cm="1">
        <f t="array" ref="J25">MAX(IF((ProjectInfoTable[ProjectName]=OutputTable[[#This Row],[ProjectName]]),(ProjectInfoTable[ProjectName]=OutputTable[[#This Row],[ProjectName]])*ProjectInfoTable[NumberOfReplications]))</f>
        <v>1</v>
      </c>
      <c r="K25" cm="1">
        <f t="array" ref="K25">IFERROR(AVERAGE(IF((OutputTable[GroupByKey]=OutputTable[[#This Row],[GroupByKey]]),(OutputTable[GroupByKey]=OutputTable[[#This Row],[GroupByKey]])*OutputTable[RecordedValue])),0)</f>
        <v>0.98699162328154499</v>
      </c>
      <c r="L25" s="3" cm="1">
        <f t="array" ref="L25">IFERROR(_xlfn.STDEV.S(IF((OutputTable[GroupByKey]=OutputTable[[#This Row],[GroupByKey]]),(OutputTable[GroupByKey]=OutputTable[[#This Row],[GroupByKey]])*OutputTable[RecordedValue])),0)</f>
        <v>0</v>
      </c>
      <c r="M25" s="3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5" s="3" cm="1">
        <f t="array" ref="O25">MIN(IF((OutputTable[GroupByKey]=OutputTable[[#This Row],[GroupByKey]]),(OutputTable[GroupByKey]=OutputTable[[#This Row],[GroupByKey]])*OutputTable[RecordedValue]))</f>
        <v>0.98699162328154499</v>
      </c>
      <c r="P25" s="3" cm="1">
        <f t="array" ref="P25">MAX(IF((OutputTable[GroupByKey]=OutputTable[[#This Row],[GroupByKey]]),(OutputTable[GroupByKey]=OutputTable[[#This Row],[GroupByKey]])*OutputTable[RecordedValue]))</f>
        <v>0.98699162328154499</v>
      </c>
    </row>
    <row r="26" spans="1:16" x14ac:dyDescent="0.25">
      <c r="A26" t="s">
        <v>67</v>
      </c>
      <c r="B26" t="s">
        <v>69</v>
      </c>
      <c r="C26">
        <v>1</v>
      </c>
      <c r="D26" t="s">
        <v>156</v>
      </c>
      <c r="E26" t="s">
        <v>131</v>
      </c>
      <c r="F26" t="s">
        <v>112</v>
      </c>
      <c r="G26">
        <v>0</v>
      </c>
      <c r="H26">
        <v>0</v>
      </c>
      <c r="I26" t="str">
        <f>OutputTable[[#This Row],[ProjectName]]&amp;OutputTable[[#This Row],[Name]]&amp;OutputTable[[#This Row],[Type]]&amp;OutputTable[[#This Row],[Source]]</f>
        <v>Unnamed ProjectLlegar.UsageCostUsage CostResource</v>
      </c>
      <c r="J26" cm="1">
        <f t="array" ref="J26">MAX(IF((ProjectInfoTable[ProjectName]=OutputTable[[#This Row],[ProjectName]]),(ProjectInfoTable[ProjectName]=OutputTable[[#This Row],[ProjectName]])*ProjectInfoTable[NumberOfReplications]))</f>
        <v>1</v>
      </c>
      <c r="K26" cm="1">
        <f t="array" ref="K26">IFERROR(AVERAGE(IF((OutputTable[GroupByKey]=OutputTable[[#This Row],[GroupByKey]]),(OutputTable[GroupByKey]=OutputTable[[#This Row],[GroupByKey]])*OutputTable[RecordedValue])),0)</f>
        <v>0</v>
      </c>
      <c r="L26" s="3" cm="1">
        <f t="array" ref="L26">IFERROR(_xlfn.STDEV.S(IF((OutputTable[GroupByKey]=OutputTable[[#This Row],[GroupByKey]]),(OutputTable[GroupByKey]=OutputTable[[#This Row],[GroupByKey]])*OutputTable[RecordedValue])),0)</f>
        <v>0</v>
      </c>
      <c r="M26" s="3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6" s="3" cm="1">
        <f t="array" ref="O26">MIN(IF((OutputTable[GroupByKey]=OutputTable[[#This Row],[GroupByKey]]),(OutputTable[GroupByKey]=OutputTable[[#This Row],[GroupByKey]])*OutputTable[RecordedValue]))</f>
        <v>0</v>
      </c>
      <c r="P26" s="3" cm="1">
        <f t="array" ref="P26">MAX(IF((OutputTable[GroupByKey]=OutputTable[[#This Row],[GroupByKey]]),(OutputTable[GroupByKey]=OutputTable[[#This Row],[GroupByKey]])*OutputTable[RecordedValue]))</f>
        <v>0</v>
      </c>
    </row>
    <row r="27" spans="1:16" x14ac:dyDescent="0.25">
      <c r="A27" t="s">
        <v>67</v>
      </c>
      <c r="B27" t="s">
        <v>69</v>
      </c>
      <c r="C27">
        <v>1</v>
      </c>
      <c r="D27" t="s">
        <v>157</v>
      </c>
      <c r="E27" t="s">
        <v>137</v>
      </c>
      <c r="F27" t="s">
        <v>89</v>
      </c>
      <c r="G27">
        <v>0</v>
      </c>
      <c r="H27">
        <v>0</v>
      </c>
      <c r="I27" t="str">
        <f>OutputTable[[#This Row],[ProjectName]]&amp;OutputTable[[#This Row],[Name]]&amp;OutputTable[[#This Row],[Type]]&amp;OutputTable[[#This Row],[Source]]</f>
        <v>Unnamed ProjectLlenadoPro Accum VA CostAccum VA CostProcess</v>
      </c>
      <c r="J27" cm="1">
        <f t="array" ref="J27">MAX(IF((ProjectInfoTable[ProjectName]=OutputTable[[#This Row],[ProjectName]]),(ProjectInfoTable[ProjectName]=OutputTable[[#This Row],[ProjectName]])*ProjectInfoTable[NumberOfReplications]))</f>
        <v>1</v>
      </c>
      <c r="K27" cm="1">
        <f t="array" ref="K27">IFERROR(AVERAGE(IF((OutputTable[GroupByKey]=OutputTable[[#This Row],[GroupByKey]]),(OutputTable[GroupByKey]=OutputTable[[#This Row],[GroupByKey]])*OutputTable[RecordedValue])),0)</f>
        <v>0</v>
      </c>
      <c r="L27" s="3" cm="1">
        <f t="array" ref="L27">IFERROR(_xlfn.STDEV.S(IF((OutputTable[GroupByKey]=OutputTable[[#This Row],[GroupByKey]]),(OutputTable[GroupByKey]=OutputTable[[#This Row],[GroupByKey]])*OutputTable[RecordedValue])),0)</f>
        <v>0</v>
      </c>
      <c r="M27" s="3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7" s="3" cm="1">
        <f t="array" ref="O27">MIN(IF((OutputTable[GroupByKey]=OutputTable[[#This Row],[GroupByKey]]),(OutputTable[GroupByKey]=OutputTable[[#This Row],[GroupByKey]])*OutputTable[RecordedValue]))</f>
        <v>0</v>
      </c>
      <c r="P27" s="3" cm="1">
        <f t="array" ref="P27">MAX(IF((OutputTable[GroupByKey]=OutputTable[[#This Row],[GroupByKey]]),(OutputTable[GroupByKey]=OutputTable[[#This Row],[GroupByKey]])*OutputTable[RecordedValue]))</f>
        <v>0</v>
      </c>
    </row>
    <row r="28" spans="1:16" x14ac:dyDescent="0.25">
      <c r="A28" t="s">
        <v>67</v>
      </c>
      <c r="B28" t="s">
        <v>69</v>
      </c>
      <c r="C28">
        <v>1</v>
      </c>
      <c r="D28" t="s">
        <v>158</v>
      </c>
      <c r="E28" t="s">
        <v>139</v>
      </c>
      <c r="F28" t="s">
        <v>89</v>
      </c>
      <c r="G28">
        <v>8.4162118987847006</v>
      </c>
      <c r="H28">
        <v>0</v>
      </c>
      <c r="I28" t="str">
        <f>OutputTable[[#This Row],[ProjectName]]&amp;OutputTable[[#This Row],[Name]]&amp;OutputTable[[#This Row],[Type]]&amp;OutputTable[[#This Row],[Source]]</f>
        <v>Unnamed ProjectLlenadoPro Accum VA TimeAccum VA TimeProcess</v>
      </c>
      <c r="J28" cm="1">
        <f t="array" ref="J28">MAX(IF((ProjectInfoTable[ProjectName]=OutputTable[[#This Row],[ProjectName]]),(ProjectInfoTable[ProjectName]=OutputTable[[#This Row],[ProjectName]])*ProjectInfoTable[NumberOfReplications]))</f>
        <v>1</v>
      </c>
      <c r="K28" cm="1">
        <f t="array" ref="K28">IFERROR(AVERAGE(IF((OutputTable[GroupByKey]=OutputTable[[#This Row],[GroupByKey]]),(OutputTable[GroupByKey]=OutputTable[[#This Row],[GroupByKey]])*OutputTable[RecordedValue])),0)</f>
        <v>8.4162118987847006</v>
      </c>
      <c r="L28" s="3" cm="1">
        <f t="array" ref="L28">IFERROR(_xlfn.STDEV.S(IF((OutputTable[GroupByKey]=OutputTable[[#This Row],[GroupByKey]]),(OutputTable[GroupByKey]=OutputTable[[#This Row],[GroupByKey]])*OutputTable[RecordedValue])),0)</f>
        <v>0</v>
      </c>
      <c r="M28" s="3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8" s="3" cm="1">
        <f t="array" ref="O28">MIN(IF((OutputTable[GroupByKey]=OutputTable[[#This Row],[GroupByKey]]),(OutputTable[GroupByKey]=OutputTable[[#This Row],[GroupByKey]])*OutputTable[RecordedValue]))</f>
        <v>8.4162118987847006</v>
      </c>
      <c r="P28" s="3" cm="1">
        <f t="array" ref="P28">MAX(IF((OutputTable[GroupByKey]=OutputTable[[#This Row],[GroupByKey]]),(OutputTable[GroupByKey]=OutputTable[[#This Row],[GroupByKey]])*OutputTable[RecordedValue]))</f>
        <v>8.4162118987847006</v>
      </c>
    </row>
    <row r="29" spans="1:16" x14ac:dyDescent="0.25">
      <c r="A29" t="s">
        <v>67</v>
      </c>
      <c r="B29" t="s">
        <v>69</v>
      </c>
      <c r="C29">
        <v>1</v>
      </c>
      <c r="D29" t="s">
        <v>159</v>
      </c>
      <c r="E29" t="s">
        <v>141</v>
      </c>
      <c r="F29" t="s">
        <v>89</v>
      </c>
      <c r="G29">
        <v>0</v>
      </c>
      <c r="H29">
        <v>0</v>
      </c>
      <c r="I29" t="str">
        <f>OutputTable[[#This Row],[ProjectName]]&amp;OutputTable[[#This Row],[Name]]&amp;OutputTable[[#This Row],[Type]]&amp;OutputTable[[#This Row],[Source]]</f>
        <v>Unnamed ProjectLlenadoPro Accum Wait CostAccum Wait CostProcess</v>
      </c>
      <c r="J29" cm="1">
        <f t="array" ref="J29">MAX(IF((ProjectInfoTable[ProjectName]=OutputTable[[#This Row],[ProjectName]]),(ProjectInfoTable[ProjectName]=OutputTable[[#This Row],[ProjectName]])*ProjectInfoTable[NumberOfReplications]))</f>
        <v>1</v>
      </c>
      <c r="K29" cm="1">
        <f t="array" ref="K29">IFERROR(AVERAGE(IF((OutputTable[GroupByKey]=OutputTable[[#This Row],[GroupByKey]]),(OutputTable[GroupByKey]=OutputTable[[#This Row],[GroupByKey]])*OutputTable[RecordedValue])),0)</f>
        <v>0</v>
      </c>
      <c r="L29" s="3" cm="1">
        <f t="array" ref="L29">IFERROR(_xlfn.STDEV.S(IF((OutputTable[GroupByKey]=OutputTable[[#This Row],[GroupByKey]]),(OutputTable[GroupByKey]=OutputTable[[#This Row],[GroupByKey]])*OutputTable[RecordedValue])),0)</f>
        <v>0</v>
      </c>
      <c r="M29" s="3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9" s="3" cm="1">
        <f t="array" ref="O29">MIN(IF((OutputTable[GroupByKey]=OutputTable[[#This Row],[GroupByKey]]),(OutputTable[GroupByKey]=OutputTable[[#This Row],[GroupByKey]])*OutputTable[RecordedValue]))</f>
        <v>0</v>
      </c>
      <c r="P29" s="3" cm="1">
        <f t="array" ref="P29">MAX(IF((OutputTable[GroupByKey]=OutputTable[[#This Row],[GroupByKey]]),(OutputTable[GroupByKey]=OutputTable[[#This Row],[GroupByKey]])*OutputTable[RecordedValue]))</f>
        <v>0</v>
      </c>
    </row>
    <row r="30" spans="1:16" x14ac:dyDescent="0.25">
      <c r="A30" t="s">
        <v>67</v>
      </c>
      <c r="B30" t="s">
        <v>69</v>
      </c>
      <c r="C30">
        <v>1</v>
      </c>
      <c r="D30" t="s">
        <v>160</v>
      </c>
      <c r="E30" t="s">
        <v>143</v>
      </c>
      <c r="F30" t="s">
        <v>89</v>
      </c>
      <c r="G30">
        <v>3.9210269200949601</v>
      </c>
      <c r="H30">
        <v>0</v>
      </c>
      <c r="I30" t="str">
        <f>OutputTable[[#This Row],[ProjectName]]&amp;OutputTable[[#This Row],[Name]]&amp;OutputTable[[#This Row],[Type]]&amp;OutputTable[[#This Row],[Source]]</f>
        <v>Unnamed ProjectLlenadoPro Accum Wait TimeAccum Wait TimeProcess</v>
      </c>
      <c r="J30" cm="1">
        <f t="array" ref="J30">MAX(IF((ProjectInfoTable[ProjectName]=OutputTable[[#This Row],[ProjectName]]),(ProjectInfoTable[ProjectName]=OutputTable[[#This Row],[ProjectName]])*ProjectInfoTable[NumberOfReplications]))</f>
        <v>1</v>
      </c>
      <c r="K30" cm="1">
        <f t="array" ref="K30">IFERROR(AVERAGE(IF((OutputTable[GroupByKey]=OutputTable[[#This Row],[GroupByKey]]),(OutputTable[GroupByKey]=OutputTable[[#This Row],[GroupByKey]])*OutputTable[RecordedValue])),0)</f>
        <v>3.9210269200949601</v>
      </c>
      <c r="L30" s="3" cm="1">
        <f t="array" ref="L30">IFERROR(_xlfn.STDEV.S(IF((OutputTable[GroupByKey]=OutputTable[[#This Row],[GroupByKey]]),(OutputTable[GroupByKey]=OutputTable[[#This Row],[GroupByKey]])*OutputTable[RecordedValue])),0)</f>
        <v>0</v>
      </c>
      <c r="M30" s="3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0" s="3" cm="1">
        <f t="array" ref="O30">MIN(IF((OutputTable[GroupByKey]=OutputTable[[#This Row],[GroupByKey]]),(OutputTable[GroupByKey]=OutputTable[[#This Row],[GroupByKey]])*OutputTable[RecordedValue]))</f>
        <v>3.9210269200949601</v>
      </c>
      <c r="P30" s="3" cm="1">
        <f t="array" ref="P30">MAX(IF((OutputTable[GroupByKey]=OutputTable[[#This Row],[GroupByKey]]),(OutputTable[GroupByKey]=OutputTable[[#This Row],[GroupByKey]])*OutputTable[RecordedValue]))</f>
        <v>3.9210269200949601</v>
      </c>
    </row>
    <row r="31" spans="1:16" x14ac:dyDescent="0.25">
      <c r="A31" t="s">
        <v>67</v>
      </c>
      <c r="B31" t="s">
        <v>69</v>
      </c>
      <c r="C31">
        <v>1</v>
      </c>
      <c r="D31" t="s">
        <v>161</v>
      </c>
      <c r="E31" t="s">
        <v>133</v>
      </c>
      <c r="F31" t="s">
        <v>89</v>
      </c>
      <c r="G31">
        <v>174</v>
      </c>
      <c r="H31">
        <v>0</v>
      </c>
      <c r="I31" t="str">
        <f>OutputTable[[#This Row],[ProjectName]]&amp;OutputTable[[#This Row],[Name]]&amp;OutputTable[[#This Row],[Type]]&amp;OutputTable[[#This Row],[Source]]</f>
        <v>Unnamed ProjectLlenadoPro Number InNumber InProcess</v>
      </c>
      <c r="J31" cm="1">
        <f t="array" ref="J31">MAX(IF((ProjectInfoTable[ProjectName]=OutputTable[[#This Row],[ProjectName]]),(ProjectInfoTable[ProjectName]=OutputTable[[#This Row],[ProjectName]])*ProjectInfoTable[NumberOfReplications]))</f>
        <v>1</v>
      </c>
      <c r="K31" cm="1">
        <f t="array" ref="K31">IFERROR(AVERAGE(IF((OutputTable[GroupByKey]=OutputTable[[#This Row],[GroupByKey]]),(OutputTable[GroupByKey]=OutputTable[[#This Row],[GroupByKey]])*OutputTable[RecordedValue])),0)</f>
        <v>174</v>
      </c>
      <c r="L31" s="3" cm="1">
        <f t="array" ref="L31">IFERROR(_xlfn.STDEV.S(IF((OutputTable[GroupByKey]=OutputTable[[#This Row],[GroupByKey]]),(OutputTable[GroupByKey]=OutputTable[[#This Row],[GroupByKey]])*OutputTable[RecordedValue])),0)</f>
        <v>0</v>
      </c>
      <c r="M31" s="3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1" s="3" cm="1">
        <f t="array" ref="O31">MIN(IF((OutputTable[GroupByKey]=OutputTable[[#This Row],[GroupByKey]]),(OutputTable[GroupByKey]=OutputTable[[#This Row],[GroupByKey]])*OutputTable[RecordedValue]))</f>
        <v>174</v>
      </c>
      <c r="P31" s="3" cm="1">
        <f t="array" ref="P31">MAX(IF((OutputTable[GroupByKey]=OutputTable[[#This Row],[GroupByKey]]),(OutputTable[GroupByKey]=OutputTable[[#This Row],[GroupByKey]])*OutputTable[RecordedValue]))</f>
        <v>174</v>
      </c>
    </row>
    <row r="32" spans="1:16" x14ac:dyDescent="0.25">
      <c r="A32" t="s">
        <v>67</v>
      </c>
      <c r="B32" t="s">
        <v>69</v>
      </c>
      <c r="C32">
        <v>1</v>
      </c>
      <c r="D32" t="s">
        <v>162</v>
      </c>
      <c r="E32" t="s">
        <v>135</v>
      </c>
      <c r="F32" t="s">
        <v>89</v>
      </c>
      <c r="G32">
        <v>174</v>
      </c>
      <c r="H32">
        <v>0</v>
      </c>
      <c r="I32" s="3" t="str">
        <f>OutputTable[[#This Row],[ProjectName]]&amp;OutputTable[[#This Row],[Name]]&amp;OutputTable[[#This Row],[Type]]&amp;OutputTable[[#This Row],[Source]]</f>
        <v>Unnamed ProjectLlenadoPro Number OutNumber OutProcess</v>
      </c>
      <c r="J32" s="3" cm="1">
        <f t="array" ref="J32">MAX(IF((ProjectInfoTable[ProjectName]=OutputTable[[#This Row],[ProjectName]]),(ProjectInfoTable[ProjectName]=OutputTable[[#This Row],[ProjectName]])*ProjectInfoTable[NumberOfReplications]))</f>
        <v>1</v>
      </c>
      <c r="K32" s="3" cm="1">
        <f t="array" ref="K32">IFERROR(AVERAGE(IF((OutputTable[GroupByKey]=OutputTable[[#This Row],[GroupByKey]]),(OutputTable[GroupByKey]=OutputTable[[#This Row],[GroupByKey]])*OutputTable[RecordedValue])),0)</f>
        <v>174</v>
      </c>
      <c r="L32" s="3" cm="1">
        <f t="array" ref="L32">IFERROR(_xlfn.STDEV.S(IF((OutputTable[GroupByKey]=OutputTable[[#This Row],[GroupByKey]]),(OutputTable[GroupByKey]=OutputTable[[#This Row],[GroupByKey]])*OutputTable[RecordedValue])),0)</f>
        <v>0</v>
      </c>
      <c r="M32" s="3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2" s="3" cm="1">
        <f t="array" ref="O32">MIN(IF((OutputTable[GroupByKey]=OutputTable[[#This Row],[GroupByKey]]),(OutputTable[GroupByKey]=OutputTable[[#This Row],[GroupByKey]])*OutputTable[RecordedValue]))</f>
        <v>174</v>
      </c>
      <c r="P32" s="3" cm="1">
        <f t="array" ref="P32">MAX(IF((OutputTable[GroupByKey]=OutputTable[[#This Row],[GroupByKey]]),(OutputTable[GroupByKey]=OutputTable[[#This Row],[GroupByKey]])*OutputTable[RecordedValue]))</f>
        <v>174</v>
      </c>
    </row>
    <row r="33" spans="1:16" x14ac:dyDescent="0.25">
      <c r="A33" t="s">
        <v>67</v>
      </c>
      <c r="B33" t="s">
        <v>69</v>
      </c>
      <c r="C33">
        <v>1</v>
      </c>
      <c r="D33" t="s">
        <v>163</v>
      </c>
      <c r="E33" t="s">
        <v>147</v>
      </c>
      <c r="F33" t="s">
        <v>89</v>
      </c>
      <c r="G33">
        <v>0</v>
      </c>
      <c r="H33">
        <v>0</v>
      </c>
      <c r="I33" s="3" t="str">
        <f>OutputTable[[#This Row],[ProjectName]]&amp;OutputTable[[#This Row],[Name]]&amp;OutputTable[[#This Row],[Type]]&amp;OutputTable[[#This Row],[Source]]</f>
        <v>Unnamed ProjectLlenadoPro Total Accum CostTotal Accum CostProcess</v>
      </c>
      <c r="J33" s="3" cm="1">
        <f t="array" ref="J33">MAX(IF((ProjectInfoTable[ProjectName]=OutputTable[[#This Row],[ProjectName]]),(ProjectInfoTable[ProjectName]=OutputTable[[#This Row],[ProjectName]])*ProjectInfoTable[NumberOfReplications]))</f>
        <v>1</v>
      </c>
      <c r="K33" s="3" cm="1">
        <f t="array" ref="K33">IFERROR(AVERAGE(IF((OutputTable[GroupByKey]=OutputTable[[#This Row],[GroupByKey]]),(OutputTable[GroupByKey]=OutputTable[[#This Row],[GroupByKey]])*OutputTable[RecordedValue])),0)</f>
        <v>0</v>
      </c>
      <c r="L33" s="3" cm="1">
        <f t="array" ref="L33">IFERROR(_xlfn.STDEV.S(IF((OutputTable[GroupByKey]=OutputTable[[#This Row],[GroupByKey]]),(OutputTable[GroupByKey]=OutputTable[[#This Row],[GroupByKey]])*OutputTable[RecordedValue])),0)</f>
        <v>0</v>
      </c>
      <c r="M33" s="3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3" s="3" cm="1">
        <f t="array" ref="O33">MIN(IF((OutputTable[GroupByKey]=OutputTable[[#This Row],[GroupByKey]]),(OutputTable[GroupByKey]=OutputTable[[#This Row],[GroupByKey]])*OutputTable[RecordedValue]))</f>
        <v>0</v>
      </c>
      <c r="P33" s="3" cm="1">
        <f t="array" ref="P33">MAX(IF((OutputTable[GroupByKey]=OutputTable[[#This Row],[GroupByKey]]),(OutputTable[GroupByKey]=OutputTable[[#This Row],[GroupByKey]])*OutputTable[RecordedValue]))</f>
        <v>0</v>
      </c>
    </row>
    <row r="34" spans="1:16" x14ac:dyDescent="0.25">
      <c r="A34" t="s">
        <v>67</v>
      </c>
      <c r="B34" t="s">
        <v>69</v>
      </c>
      <c r="C34">
        <v>1</v>
      </c>
      <c r="D34" t="s">
        <v>164</v>
      </c>
      <c r="E34" t="s">
        <v>149</v>
      </c>
      <c r="F34" t="s">
        <v>89</v>
      </c>
      <c r="G34">
        <v>12.337238818879699</v>
      </c>
      <c r="H34">
        <v>0</v>
      </c>
      <c r="I34" s="3" t="str">
        <f>OutputTable[[#This Row],[ProjectName]]&amp;OutputTable[[#This Row],[Name]]&amp;OutputTable[[#This Row],[Type]]&amp;OutputTable[[#This Row],[Source]]</f>
        <v>Unnamed ProjectLlenadoPro Total Accum TimeTotal Accum TimeProcess</v>
      </c>
      <c r="J34" s="3" cm="1">
        <f t="array" ref="J34">MAX(IF((ProjectInfoTable[ProjectName]=OutputTable[[#This Row],[ProjectName]]),(ProjectInfoTable[ProjectName]=OutputTable[[#This Row],[ProjectName]])*ProjectInfoTable[NumberOfReplications]))</f>
        <v>1</v>
      </c>
      <c r="K34" s="3" cm="1">
        <f t="array" ref="K34">IFERROR(AVERAGE(IF((OutputTable[GroupByKey]=OutputTable[[#This Row],[GroupByKey]]),(OutputTable[GroupByKey]=OutputTable[[#This Row],[GroupByKey]])*OutputTable[RecordedValue])),0)</f>
        <v>12.337238818879699</v>
      </c>
      <c r="L34" s="3" cm="1">
        <f t="array" ref="L34">IFERROR(_xlfn.STDEV.S(IF((OutputTable[GroupByKey]=OutputTable[[#This Row],[GroupByKey]]),(OutputTable[GroupByKey]=OutputTable[[#This Row],[GroupByKey]])*OutputTable[RecordedValue])),0)</f>
        <v>0</v>
      </c>
      <c r="M34" s="3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4" s="3" cm="1">
        <f t="array" ref="O34">MIN(IF((OutputTable[GroupByKey]=OutputTable[[#This Row],[GroupByKey]]),(OutputTable[GroupByKey]=OutputTable[[#This Row],[GroupByKey]])*OutputTable[RecordedValue]))</f>
        <v>12.337238818879699</v>
      </c>
      <c r="P34" s="3" cm="1">
        <f t="array" ref="P34">MAX(IF((OutputTable[GroupByKey]=OutputTable[[#This Row],[GroupByKey]]),(OutputTable[GroupByKey]=OutputTable[[#This Row],[GroupByKey]])*OutputTable[RecordedValue]))</f>
        <v>12.337238818879699</v>
      </c>
    </row>
    <row r="35" spans="1:16" x14ac:dyDescent="0.25">
      <c r="A35" t="s">
        <v>67</v>
      </c>
      <c r="B35" t="s">
        <v>69</v>
      </c>
      <c r="C35">
        <v>1</v>
      </c>
      <c r="D35" t="s">
        <v>165</v>
      </c>
      <c r="E35" t="s">
        <v>126</v>
      </c>
      <c r="F35" t="s">
        <v>112</v>
      </c>
      <c r="G35">
        <v>0</v>
      </c>
      <c r="H35">
        <v>0</v>
      </c>
      <c r="I35" s="3" t="str">
        <f>OutputTable[[#This Row],[ProjectName]]&amp;OutputTable[[#This Row],[Name]]&amp;OutputTable[[#This Row],[Type]]&amp;OutputTable[[#This Row],[Source]]</f>
        <v>Unnamed ProjectLlenar.BusyCostBusy CostResource</v>
      </c>
      <c r="J35" s="3" cm="1">
        <f t="array" ref="J35">MAX(IF((ProjectInfoTable[ProjectName]=OutputTable[[#This Row],[ProjectName]]),(ProjectInfoTable[ProjectName]=OutputTable[[#This Row],[ProjectName]])*ProjectInfoTable[NumberOfReplications]))</f>
        <v>1</v>
      </c>
      <c r="K35" s="3" cm="1">
        <f t="array" ref="K35">IFERROR(AVERAGE(IF((OutputTable[GroupByKey]=OutputTable[[#This Row],[GroupByKey]]),(OutputTable[GroupByKey]=OutputTable[[#This Row],[GroupByKey]])*OutputTable[RecordedValue])),0)</f>
        <v>0</v>
      </c>
      <c r="L35" s="3" cm="1">
        <f t="array" ref="L35">IFERROR(_xlfn.STDEV.S(IF((OutputTable[GroupByKey]=OutputTable[[#This Row],[GroupByKey]]),(OutputTable[GroupByKey]=OutputTable[[#This Row],[GroupByKey]])*OutputTable[RecordedValue])),0)</f>
        <v>0</v>
      </c>
      <c r="M35" s="3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5" s="3" cm="1">
        <f t="array" ref="O35">MIN(IF((OutputTable[GroupByKey]=OutputTable[[#This Row],[GroupByKey]]),(OutputTable[GroupByKey]=OutputTable[[#This Row],[GroupByKey]])*OutputTable[RecordedValue]))</f>
        <v>0</v>
      </c>
      <c r="P35" s="3" cm="1">
        <f t="array" ref="P35">MAX(IF((OutputTable[GroupByKey]=OutputTable[[#This Row],[GroupByKey]]),(OutputTable[GroupByKey]=OutputTable[[#This Row],[GroupByKey]])*OutputTable[RecordedValue]))</f>
        <v>0</v>
      </c>
    </row>
    <row r="36" spans="1:16" x14ac:dyDescent="0.25">
      <c r="A36" t="s">
        <v>67</v>
      </c>
      <c r="B36" t="s">
        <v>69</v>
      </c>
      <c r="C36">
        <v>1</v>
      </c>
      <c r="D36" t="s">
        <v>166</v>
      </c>
      <c r="E36" t="s">
        <v>128</v>
      </c>
      <c r="F36" t="s">
        <v>112</v>
      </c>
      <c r="G36">
        <v>0</v>
      </c>
      <c r="H36">
        <v>0</v>
      </c>
      <c r="I36" s="3" t="str">
        <f>OutputTable[[#This Row],[ProjectName]]&amp;OutputTable[[#This Row],[Name]]&amp;OutputTable[[#This Row],[Type]]&amp;OutputTable[[#This Row],[Source]]</f>
        <v>Unnamed ProjectLlenar.IdleCostIdle CostResource</v>
      </c>
      <c r="J36" s="3" cm="1">
        <f t="array" ref="J36">MAX(IF((ProjectInfoTable[ProjectName]=OutputTable[[#This Row],[ProjectName]]),(ProjectInfoTable[ProjectName]=OutputTable[[#This Row],[ProjectName]])*ProjectInfoTable[NumberOfReplications]))</f>
        <v>1</v>
      </c>
      <c r="K36" s="3" cm="1">
        <f t="array" ref="K36">IFERROR(AVERAGE(IF((OutputTable[GroupByKey]=OutputTable[[#This Row],[GroupByKey]]),(OutputTable[GroupByKey]=OutputTable[[#This Row],[GroupByKey]])*OutputTable[RecordedValue])),0)</f>
        <v>0</v>
      </c>
      <c r="L36" s="3" cm="1">
        <f t="array" ref="L36">IFERROR(_xlfn.STDEV.S(IF((OutputTable[GroupByKey]=OutputTable[[#This Row],[GroupByKey]]),(OutputTable[GroupByKey]=OutputTable[[#This Row],[GroupByKey]])*OutputTable[RecordedValue])),0)</f>
        <v>0</v>
      </c>
      <c r="M36" s="3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6" s="3" cm="1">
        <f t="array" ref="O36">MIN(IF((OutputTable[GroupByKey]=OutputTable[[#This Row],[GroupByKey]]),(OutputTable[GroupByKey]=OutputTable[[#This Row],[GroupByKey]])*OutputTable[RecordedValue]))</f>
        <v>0</v>
      </c>
      <c r="P36" s="3" cm="1">
        <f t="array" ref="P36">MAX(IF((OutputTable[GroupByKey]=OutputTable[[#This Row],[GroupByKey]]),(OutputTable[GroupByKey]=OutputTable[[#This Row],[GroupByKey]])*OutputTable[RecordedValue]))</f>
        <v>0</v>
      </c>
    </row>
    <row r="37" spans="1:16" x14ac:dyDescent="0.25">
      <c r="A37" t="s">
        <v>67</v>
      </c>
      <c r="B37" t="s">
        <v>69</v>
      </c>
      <c r="C37">
        <v>1</v>
      </c>
      <c r="D37" t="s">
        <v>167</v>
      </c>
      <c r="E37" t="s">
        <v>153</v>
      </c>
      <c r="F37" t="s">
        <v>112</v>
      </c>
      <c r="G37">
        <v>174</v>
      </c>
      <c r="H37">
        <v>0</v>
      </c>
      <c r="I37" s="3" t="str">
        <f>OutputTable[[#This Row],[ProjectName]]&amp;OutputTable[[#This Row],[Name]]&amp;OutputTable[[#This Row],[Type]]&amp;OutputTable[[#This Row],[Source]]</f>
        <v>Unnamed ProjectLlenar.NumberSeizedTotal Number SeizedResource</v>
      </c>
      <c r="J37" s="3" cm="1">
        <f t="array" ref="J37">MAX(IF((ProjectInfoTable[ProjectName]=OutputTable[[#This Row],[ProjectName]]),(ProjectInfoTable[ProjectName]=OutputTable[[#This Row],[ProjectName]])*ProjectInfoTable[NumberOfReplications]))</f>
        <v>1</v>
      </c>
      <c r="K37" s="3" cm="1">
        <f t="array" ref="K37">IFERROR(AVERAGE(IF((OutputTable[GroupByKey]=OutputTable[[#This Row],[GroupByKey]]),(OutputTable[GroupByKey]=OutputTable[[#This Row],[GroupByKey]])*OutputTable[RecordedValue])),0)</f>
        <v>174</v>
      </c>
      <c r="L37" s="3" cm="1">
        <f t="array" ref="L37">IFERROR(_xlfn.STDEV.S(IF((OutputTable[GroupByKey]=OutputTable[[#This Row],[GroupByKey]]),(OutputTable[GroupByKey]=OutputTable[[#This Row],[GroupByKey]])*OutputTable[RecordedValue])),0)</f>
        <v>0</v>
      </c>
      <c r="M37" s="3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7" s="3" cm="1">
        <f t="array" ref="O37">MIN(IF((OutputTable[GroupByKey]=OutputTable[[#This Row],[GroupByKey]]),(OutputTable[GroupByKey]=OutputTable[[#This Row],[GroupByKey]])*OutputTable[RecordedValue]))</f>
        <v>174</v>
      </c>
      <c r="P37" s="3" cm="1">
        <f t="array" ref="P37">MAX(IF((OutputTable[GroupByKey]=OutputTable[[#This Row],[GroupByKey]]),(OutputTable[GroupByKey]=OutputTable[[#This Row],[GroupByKey]])*OutputTable[RecordedValue]))</f>
        <v>174</v>
      </c>
    </row>
    <row r="38" spans="1:16" x14ac:dyDescent="0.25">
      <c r="A38" t="s">
        <v>67</v>
      </c>
      <c r="B38" t="s">
        <v>69</v>
      </c>
      <c r="C38">
        <v>1</v>
      </c>
      <c r="D38" t="s">
        <v>168</v>
      </c>
      <c r="E38" t="s">
        <v>155</v>
      </c>
      <c r="F38" t="s">
        <v>112</v>
      </c>
      <c r="G38">
        <v>0.86860356047184695</v>
      </c>
      <c r="H38">
        <v>0</v>
      </c>
      <c r="I38" s="3" t="str">
        <f>OutputTable[[#This Row],[ProjectName]]&amp;OutputTable[[#This Row],[Name]]&amp;OutputTable[[#This Row],[Type]]&amp;OutputTable[[#This Row],[Source]]</f>
        <v>Unnamed ProjectLlenar.ScheduledUtilizationScheduled UtilizationResource</v>
      </c>
      <c r="J38" s="3" cm="1">
        <f t="array" ref="J38">MAX(IF((ProjectInfoTable[ProjectName]=OutputTable[[#This Row],[ProjectName]]),(ProjectInfoTable[ProjectName]=OutputTable[[#This Row],[ProjectName]])*ProjectInfoTable[NumberOfReplications]))</f>
        <v>1</v>
      </c>
      <c r="K38" s="3" cm="1">
        <f t="array" ref="K38">IFERROR(AVERAGE(IF((OutputTable[GroupByKey]=OutputTable[[#This Row],[GroupByKey]]),(OutputTable[GroupByKey]=OutputTable[[#This Row],[GroupByKey]])*OutputTable[RecordedValue])),0)</f>
        <v>0.86860356047184695</v>
      </c>
      <c r="L38" s="3" cm="1">
        <f t="array" ref="L38">IFERROR(_xlfn.STDEV.S(IF((OutputTable[GroupByKey]=OutputTable[[#This Row],[GroupByKey]]),(OutputTable[GroupByKey]=OutputTable[[#This Row],[GroupByKey]])*OutputTable[RecordedValue])),0)</f>
        <v>0</v>
      </c>
      <c r="M38" s="3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8" s="3" cm="1">
        <f t="array" ref="O38">MIN(IF((OutputTable[GroupByKey]=OutputTable[[#This Row],[GroupByKey]]),(OutputTable[GroupByKey]=OutputTable[[#This Row],[GroupByKey]])*OutputTable[RecordedValue]))</f>
        <v>0.86860356047184695</v>
      </c>
      <c r="P38" s="3" cm="1">
        <f t="array" ref="P38">MAX(IF((OutputTable[GroupByKey]=OutputTable[[#This Row],[GroupByKey]]),(OutputTable[GroupByKey]=OutputTable[[#This Row],[GroupByKey]])*OutputTable[RecordedValue]))</f>
        <v>0.86860356047184695</v>
      </c>
    </row>
    <row r="39" spans="1:16" x14ac:dyDescent="0.25">
      <c r="A39" t="s">
        <v>67</v>
      </c>
      <c r="B39" t="s">
        <v>69</v>
      </c>
      <c r="C39">
        <v>1</v>
      </c>
      <c r="D39" t="s">
        <v>169</v>
      </c>
      <c r="E39" t="s">
        <v>131</v>
      </c>
      <c r="F39" t="s">
        <v>112</v>
      </c>
      <c r="G39">
        <v>0</v>
      </c>
      <c r="H39">
        <v>0</v>
      </c>
      <c r="I39" s="3" t="str">
        <f>OutputTable[[#This Row],[ProjectName]]&amp;OutputTable[[#This Row],[Name]]&amp;OutputTable[[#This Row],[Type]]&amp;OutputTable[[#This Row],[Source]]</f>
        <v>Unnamed ProjectLlenar.UsageCostUsage CostResource</v>
      </c>
      <c r="J39" s="3" cm="1">
        <f t="array" ref="J39">MAX(IF((ProjectInfoTable[ProjectName]=OutputTable[[#This Row],[ProjectName]]),(ProjectInfoTable[ProjectName]=OutputTable[[#This Row],[ProjectName]])*ProjectInfoTable[NumberOfReplications]))</f>
        <v>1</v>
      </c>
      <c r="K39" s="3" cm="1">
        <f t="array" ref="K39">IFERROR(AVERAGE(IF((OutputTable[GroupByKey]=OutputTable[[#This Row],[GroupByKey]]),(OutputTable[GroupByKey]=OutputTable[[#This Row],[GroupByKey]])*OutputTable[RecordedValue])),0)</f>
        <v>0</v>
      </c>
      <c r="L39" s="3" cm="1">
        <f t="array" ref="L39">IFERROR(_xlfn.STDEV.S(IF((OutputTable[GroupByKey]=OutputTable[[#This Row],[GroupByKey]]),(OutputTable[GroupByKey]=OutputTable[[#This Row],[GroupByKey]])*OutputTable[RecordedValue])),0)</f>
        <v>0</v>
      </c>
      <c r="M39" s="3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9" s="3" cm="1">
        <f t="array" ref="O39">MIN(IF((OutputTable[GroupByKey]=OutputTable[[#This Row],[GroupByKey]]),(OutputTable[GroupByKey]=OutputTable[[#This Row],[GroupByKey]])*OutputTable[RecordedValue]))</f>
        <v>0</v>
      </c>
      <c r="P39" s="3" cm="1">
        <f t="array" ref="P39">MAX(IF((OutputTable[GroupByKey]=OutputTable[[#This Row],[GroupByKey]]),(OutputTable[GroupByKey]=OutputTable[[#This Row],[GroupByKey]])*OutputTable[RecordedValue]))</f>
        <v>0</v>
      </c>
    </row>
    <row r="40" spans="1:16" x14ac:dyDescent="0.25">
      <c r="A40" t="s">
        <v>67</v>
      </c>
      <c r="B40" t="s">
        <v>69</v>
      </c>
      <c r="C40">
        <v>1</v>
      </c>
      <c r="D40" t="s">
        <v>170</v>
      </c>
      <c r="E40" t="s">
        <v>135</v>
      </c>
      <c r="F40" t="s">
        <v>118</v>
      </c>
      <c r="G40">
        <v>174</v>
      </c>
      <c r="H40">
        <v>0</v>
      </c>
      <c r="I40" s="3" t="str">
        <f>OutputTable[[#This Row],[ProjectName]]&amp;OutputTable[[#This Row],[Name]]&amp;OutputTable[[#This Row],[Type]]&amp;OutputTable[[#This Row],[Source]]</f>
        <v>Unnamed ProjectSystem.NumberOutNumber OutSystem</v>
      </c>
      <c r="J40" s="3" cm="1">
        <f t="array" ref="J40">MAX(IF((ProjectInfoTable[ProjectName]=OutputTable[[#This Row],[ProjectName]]),(ProjectInfoTable[ProjectName]=OutputTable[[#This Row],[ProjectName]])*ProjectInfoTable[NumberOfReplications]))</f>
        <v>1</v>
      </c>
      <c r="K40" s="3" cm="1">
        <f t="array" ref="K40">IFERROR(AVERAGE(IF((OutputTable[GroupByKey]=OutputTable[[#This Row],[GroupByKey]]),(OutputTable[GroupByKey]=OutputTable[[#This Row],[GroupByKey]])*OutputTable[RecordedValue])),0)</f>
        <v>174</v>
      </c>
      <c r="L40" s="3" cm="1">
        <f t="array" ref="L40">IFERROR(_xlfn.STDEV.S(IF((OutputTable[GroupByKey]=OutputTable[[#This Row],[GroupByKey]]),(OutputTable[GroupByKey]=OutputTable[[#This Row],[GroupByKey]])*OutputTable[RecordedValue])),0)</f>
        <v>0</v>
      </c>
      <c r="M40" s="3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0" s="3" cm="1">
        <f t="array" ref="O40">MIN(IF((OutputTable[GroupByKey]=OutputTable[[#This Row],[GroupByKey]]),(OutputTable[GroupByKey]=OutputTable[[#This Row],[GroupByKey]])*OutputTable[RecordedValue]))</f>
        <v>174</v>
      </c>
      <c r="P40" s="3" cm="1">
        <f t="array" ref="P40">MAX(IF((OutputTable[GroupByKey]=OutputTable[[#This Row],[GroupByKey]]),(OutputTable[GroupByKey]=OutputTable[[#This Row],[GroupByKey]])*OutputTable[RecordedValue]))</f>
        <v>174</v>
      </c>
    </row>
    <row r="41" spans="1:16" x14ac:dyDescent="0.25">
      <c r="A41" t="s">
        <v>67</v>
      </c>
      <c r="B41" t="s">
        <v>69</v>
      </c>
      <c r="C41">
        <v>1</v>
      </c>
      <c r="D41" t="s">
        <v>171</v>
      </c>
      <c r="E41" t="s">
        <v>79</v>
      </c>
      <c r="F41" t="s">
        <v>118</v>
      </c>
      <c r="G41">
        <v>0</v>
      </c>
      <c r="H41">
        <v>0</v>
      </c>
      <c r="I41" s="3" t="str">
        <f>OutputTable[[#This Row],[ProjectName]]&amp;OutputTable[[#This Row],[Name]]&amp;OutputTable[[#This Row],[Type]]&amp;OutputTable[[#This Row],[Source]]</f>
        <v>Unnamed ProjectSystem.TotalCostTotal CostSystem</v>
      </c>
      <c r="J41" s="3" cm="1">
        <f t="array" ref="J41">MAX(IF((ProjectInfoTable[ProjectName]=OutputTable[[#This Row],[ProjectName]]),(ProjectInfoTable[ProjectName]=OutputTable[[#This Row],[ProjectName]])*ProjectInfoTable[NumberOfReplications]))</f>
        <v>1</v>
      </c>
      <c r="K41" s="3" cm="1">
        <f t="array" ref="K41">IFERROR(AVERAGE(IF((OutputTable[GroupByKey]=OutputTable[[#This Row],[GroupByKey]]),(OutputTable[GroupByKey]=OutputTable[[#This Row],[GroupByKey]])*OutputTable[RecordedValue])),0)</f>
        <v>0</v>
      </c>
      <c r="L41" s="3" cm="1">
        <f t="array" ref="L41">IFERROR(_xlfn.STDEV.S(IF((OutputTable[GroupByKey]=OutputTable[[#This Row],[GroupByKey]]),(OutputTable[GroupByKey]=OutputTable[[#This Row],[GroupByKey]])*OutputTable[RecordedValue])),0)</f>
        <v>0</v>
      </c>
      <c r="M41" s="3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1" s="3" cm="1">
        <f t="array" ref="O41">MIN(IF((OutputTable[GroupByKey]=OutputTable[[#This Row],[GroupByKey]]),(OutputTable[GroupByKey]=OutputTable[[#This Row],[GroupByKey]])*OutputTable[RecordedValue]))</f>
        <v>0</v>
      </c>
      <c r="P41" s="3" cm="1">
        <f t="array" ref="P41">MAX(IF((OutputTable[GroupByKey]=OutputTable[[#This Row],[GroupByKey]]),(OutputTable[GroupByKey]=OutputTable[[#This Row],[GroupByKey]])*OutputTable[RecordedValue]))</f>
        <v>0</v>
      </c>
    </row>
    <row r="42" spans="1:16" x14ac:dyDescent="0.25">
      <c r="A42" t="s">
        <v>67</v>
      </c>
      <c r="B42" t="s">
        <v>69</v>
      </c>
      <c r="C42">
        <v>1</v>
      </c>
      <c r="D42" t="s">
        <v>172</v>
      </c>
      <c r="E42" t="s">
        <v>137</v>
      </c>
      <c r="F42" t="s">
        <v>89</v>
      </c>
      <c r="G42">
        <v>0</v>
      </c>
      <c r="H42">
        <v>0</v>
      </c>
      <c r="I42" s="3" t="str">
        <f>OutputTable[[#This Row],[ProjectName]]&amp;OutputTable[[#This Row],[Name]]&amp;OutputTable[[#This Row],[Type]]&amp;OutputTable[[#This Row],[Source]]</f>
        <v>Unnamed ProjectTapadoPro Accum VA CostAccum VA CostProcess</v>
      </c>
      <c r="J42" s="3" cm="1">
        <f t="array" ref="J42">MAX(IF((ProjectInfoTable[ProjectName]=OutputTable[[#This Row],[ProjectName]]),(ProjectInfoTable[ProjectName]=OutputTable[[#This Row],[ProjectName]])*ProjectInfoTable[NumberOfReplications]))</f>
        <v>1</v>
      </c>
      <c r="K42" s="3" cm="1">
        <f t="array" ref="K42">IFERROR(AVERAGE(IF((OutputTable[GroupByKey]=OutputTable[[#This Row],[GroupByKey]]),(OutputTable[GroupByKey]=OutputTable[[#This Row],[GroupByKey]])*OutputTable[RecordedValue])),0)</f>
        <v>0</v>
      </c>
      <c r="L42" s="3" cm="1">
        <f t="array" ref="L42">IFERROR(_xlfn.STDEV.S(IF((OutputTable[GroupByKey]=OutputTable[[#This Row],[GroupByKey]]),(OutputTable[GroupByKey]=OutputTable[[#This Row],[GroupByKey]])*OutputTable[RecordedValue])),0)</f>
        <v>0</v>
      </c>
      <c r="M42" s="3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2" s="3" cm="1">
        <f t="array" ref="O42">MIN(IF((OutputTable[GroupByKey]=OutputTable[[#This Row],[GroupByKey]]),(OutputTable[GroupByKey]=OutputTable[[#This Row],[GroupByKey]])*OutputTable[RecordedValue]))</f>
        <v>0</v>
      </c>
      <c r="P42" s="3" cm="1">
        <f t="array" ref="P42">MAX(IF((OutputTable[GroupByKey]=OutputTable[[#This Row],[GroupByKey]]),(OutputTable[GroupByKey]=OutputTable[[#This Row],[GroupByKey]])*OutputTable[RecordedValue]))</f>
        <v>0</v>
      </c>
    </row>
    <row r="43" spans="1:16" x14ac:dyDescent="0.25">
      <c r="A43" t="s">
        <v>67</v>
      </c>
      <c r="B43" t="s">
        <v>69</v>
      </c>
      <c r="C43">
        <v>1</v>
      </c>
      <c r="D43" t="s">
        <v>173</v>
      </c>
      <c r="E43" t="s">
        <v>139</v>
      </c>
      <c r="F43" t="s">
        <v>89</v>
      </c>
      <c r="G43">
        <v>8.7000000000000099</v>
      </c>
      <c r="H43">
        <v>0</v>
      </c>
      <c r="I43" s="3" t="str">
        <f>OutputTable[[#This Row],[ProjectName]]&amp;OutputTable[[#This Row],[Name]]&amp;OutputTable[[#This Row],[Type]]&amp;OutputTable[[#This Row],[Source]]</f>
        <v>Unnamed ProjectTapadoPro Accum VA TimeAccum VA TimeProcess</v>
      </c>
      <c r="J43" s="3" cm="1">
        <f t="array" ref="J43">MAX(IF((ProjectInfoTable[ProjectName]=OutputTable[[#This Row],[ProjectName]]),(ProjectInfoTable[ProjectName]=OutputTable[[#This Row],[ProjectName]])*ProjectInfoTable[NumberOfReplications]))</f>
        <v>1</v>
      </c>
      <c r="K43" s="3" cm="1">
        <f t="array" ref="K43">IFERROR(AVERAGE(IF((OutputTable[GroupByKey]=OutputTable[[#This Row],[GroupByKey]]),(OutputTable[GroupByKey]=OutputTable[[#This Row],[GroupByKey]])*OutputTable[RecordedValue])),0)</f>
        <v>8.7000000000000099</v>
      </c>
      <c r="L43" s="3" cm="1">
        <f t="array" ref="L43">IFERROR(_xlfn.STDEV.S(IF((OutputTable[GroupByKey]=OutputTable[[#This Row],[GroupByKey]]),(OutputTable[GroupByKey]=OutputTable[[#This Row],[GroupByKey]])*OutputTable[RecordedValue])),0)</f>
        <v>0</v>
      </c>
      <c r="M43" s="3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3" s="3" cm="1">
        <f t="array" ref="O43">MIN(IF((OutputTable[GroupByKey]=OutputTable[[#This Row],[GroupByKey]]),(OutputTable[GroupByKey]=OutputTable[[#This Row],[GroupByKey]])*OutputTable[RecordedValue]))</f>
        <v>8.7000000000000099</v>
      </c>
      <c r="P43" s="3" cm="1">
        <f t="array" ref="P43">MAX(IF((OutputTable[GroupByKey]=OutputTable[[#This Row],[GroupByKey]]),(OutputTable[GroupByKey]=OutputTable[[#This Row],[GroupByKey]])*OutputTable[RecordedValue]))</f>
        <v>8.7000000000000099</v>
      </c>
    </row>
    <row r="44" spans="1:16" x14ac:dyDescent="0.25">
      <c r="A44" t="s">
        <v>67</v>
      </c>
      <c r="B44" t="s">
        <v>69</v>
      </c>
      <c r="C44">
        <v>1</v>
      </c>
      <c r="D44" t="s">
        <v>174</v>
      </c>
      <c r="E44" t="s">
        <v>141</v>
      </c>
      <c r="F44" t="s">
        <v>89</v>
      </c>
      <c r="G44">
        <v>0</v>
      </c>
      <c r="H44">
        <v>0</v>
      </c>
      <c r="I44" s="3" t="str">
        <f>OutputTable[[#This Row],[ProjectName]]&amp;OutputTable[[#This Row],[Name]]&amp;OutputTable[[#This Row],[Type]]&amp;OutputTable[[#This Row],[Source]]</f>
        <v>Unnamed ProjectTapadoPro Accum Wait CostAccum Wait CostProcess</v>
      </c>
      <c r="J44" s="3" cm="1">
        <f t="array" ref="J44">MAX(IF((ProjectInfoTable[ProjectName]=OutputTable[[#This Row],[ProjectName]]),(ProjectInfoTable[ProjectName]=OutputTable[[#This Row],[ProjectName]])*ProjectInfoTable[NumberOfReplications]))</f>
        <v>1</v>
      </c>
      <c r="K44" s="3" cm="1">
        <f t="array" ref="K44">IFERROR(AVERAGE(IF((OutputTable[GroupByKey]=OutputTable[[#This Row],[GroupByKey]]),(OutputTable[GroupByKey]=OutputTable[[#This Row],[GroupByKey]])*OutputTable[RecordedValue])),0)</f>
        <v>0</v>
      </c>
      <c r="L44" s="3" cm="1">
        <f t="array" ref="L44">IFERROR(_xlfn.STDEV.S(IF((OutputTable[GroupByKey]=OutputTable[[#This Row],[GroupByKey]]),(OutputTable[GroupByKey]=OutputTable[[#This Row],[GroupByKey]])*OutputTable[RecordedValue])),0)</f>
        <v>0</v>
      </c>
      <c r="M44" s="3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4" s="3" cm="1">
        <f t="array" ref="O44">MIN(IF((OutputTable[GroupByKey]=OutputTable[[#This Row],[GroupByKey]]),(OutputTable[GroupByKey]=OutputTable[[#This Row],[GroupByKey]])*OutputTable[RecordedValue]))</f>
        <v>0</v>
      </c>
      <c r="P44" s="3" cm="1">
        <f t="array" ref="P44">MAX(IF((OutputTable[GroupByKey]=OutputTable[[#This Row],[GroupByKey]]),(OutputTable[GroupByKey]=OutputTable[[#This Row],[GroupByKey]])*OutputTable[RecordedValue]))</f>
        <v>0</v>
      </c>
    </row>
    <row r="45" spans="1:16" x14ac:dyDescent="0.25">
      <c r="A45" t="s">
        <v>67</v>
      </c>
      <c r="B45" t="s">
        <v>69</v>
      </c>
      <c r="C45">
        <v>1</v>
      </c>
      <c r="D45" t="s">
        <v>175</v>
      </c>
      <c r="E45" t="s">
        <v>143</v>
      </c>
      <c r="F45" t="s">
        <v>89</v>
      </c>
      <c r="G45">
        <v>2.93929973474728</v>
      </c>
      <c r="H45">
        <v>0</v>
      </c>
      <c r="I45" s="3" t="str">
        <f>OutputTable[[#This Row],[ProjectName]]&amp;OutputTable[[#This Row],[Name]]&amp;OutputTable[[#This Row],[Type]]&amp;OutputTable[[#This Row],[Source]]</f>
        <v>Unnamed ProjectTapadoPro Accum Wait TimeAccum Wait TimeProcess</v>
      </c>
      <c r="J45" s="3" cm="1">
        <f t="array" ref="J45">MAX(IF((ProjectInfoTable[ProjectName]=OutputTable[[#This Row],[ProjectName]]),(ProjectInfoTable[ProjectName]=OutputTable[[#This Row],[ProjectName]])*ProjectInfoTable[NumberOfReplications]))</f>
        <v>1</v>
      </c>
      <c r="K45" s="3" cm="1">
        <f t="array" ref="K45">IFERROR(AVERAGE(IF((OutputTable[GroupByKey]=OutputTable[[#This Row],[GroupByKey]]),(OutputTable[GroupByKey]=OutputTable[[#This Row],[GroupByKey]])*OutputTable[RecordedValue])),0)</f>
        <v>2.93929973474728</v>
      </c>
      <c r="L45" s="3" cm="1">
        <f t="array" ref="L45">IFERROR(_xlfn.STDEV.S(IF((OutputTable[GroupByKey]=OutputTable[[#This Row],[GroupByKey]]),(OutputTable[GroupByKey]=OutputTable[[#This Row],[GroupByKey]])*OutputTable[RecordedValue])),0)</f>
        <v>0</v>
      </c>
      <c r="M45" s="3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5" s="3" cm="1">
        <f t="array" ref="O45">MIN(IF((OutputTable[GroupByKey]=OutputTable[[#This Row],[GroupByKey]]),(OutputTable[GroupByKey]=OutputTable[[#This Row],[GroupByKey]])*OutputTable[RecordedValue]))</f>
        <v>2.93929973474728</v>
      </c>
      <c r="P45" s="3" cm="1">
        <f t="array" ref="P45">MAX(IF((OutputTable[GroupByKey]=OutputTable[[#This Row],[GroupByKey]]),(OutputTable[GroupByKey]=OutputTable[[#This Row],[GroupByKey]])*OutputTable[RecordedValue]))</f>
        <v>2.93929973474728</v>
      </c>
    </row>
    <row r="46" spans="1:16" x14ac:dyDescent="0.25">
      <c r="A46" t="s">
        <v>67</v>
      </c>
      <c r="B46" t="s">
        <v>69</v>
      </c>
      <c r="C46">
        <v>1</v>
      </c>
      <c r="D46" t="s">
        <v>176</v>
      </c>
      <c r="E46" t="s">
        <v>133</v>
      </c>
      <c r="F46" t="s">
        <v>89</v>
      </c>
      <c r="G46">
        <v>174</v>
      </c>
      <c r="H46">
        <v>0</v>
      </c>
      <c r="I46" s="3" t="str">
        <f>OutputTable[[#This Row],[ProjectName]]&amp;OutputTable[[#This Row],[Name]]&amp;OutputTable[[#This Row],[Type]]&amp;OutputTable[[#This Row],[Source]]</f>
        <v>Unnamed ProjectTapadoPro Number InNumber InProcess</v>
      </c>
      <c r="J46" s="3" cm="1">
        <f t="array" ref="J46">MAX(IF((ProjectInfoTable[ProjectName]=OutputTable[[#This Row],[ProjectName]]),(ProjectInfoTable[ProjectName]=OutputTable[[#This Row],[ProjectName]])*ProjectInfoTable[NumberOfReplications]))</f>
        <v>1</v>
      </c>
      <c r="K46" s="3" cm="1">
        <f t="array" ref="K46">IFERROR(AVERAGE(IF((OutputTable[GroupByKey]=OutputTable[[#This Row],[GroupByKey]]),(OutputTable[GroupByKey]=OutputTable[[#This Row],[GroupByKey]])*OutputTable[RecordedValue])),0)</f>
        <v>174</v>
      </c>
      <c r="L46" s="3" cm="1">
        <f t="array" ref="L46">IFERROR(_xlfn.STDEV.S(IF((OutputTable[GroupByKey]=OutputTable[[#This Row],[GroupByKey]]),(OutputTable[GroupByKey]=OutputTable[[#This Row],[GroupByKey]])*OutputTable[RecordedValue])),0)</f>
        <v>0</v>
      </c>
      <c r="M46" s="3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6" s="3" cm="1">
        <f t="array" ref="O46">MIN(IF((OutputTable[GroupByKey]=OutputTable[[#This Row],[GroupByKey]]),(OutputTable[GroupByKey]=OutputTable[[#This Row],[GroupByKey]])*OutputTable[RecordedValue]))</f>
        <v>174</v>
      </c>
      <c r="P46" s="3" cm="1">
        <f t="array" ref="P46">MAX(IF((OutputTable[GroupByKey]=OutputTable[[#This Row],[GroupByKey]]),(OutputTable[GroupByKey]=OutputTable[[#This Row],[GroupByKey]])*OutputTable[RecordedValue]))</f>
        <v>174</v>
      </c>
    </row>
    <row r="47" spans="1:16" x14ac:dyDescent="0.25">
      <c r="A47" t="s">
        <v>67</v>
      </c>
      <c r="B47" t="s">
        <v>69</v>
      </c>
      <c r="C47">
        <v>1</v>
      </c>
      <c r="D47" t="s">
        <v>177</v>
      </c>
      <c r="E47" t="s">
        <v>135</v>
      </c>
      <c r="F47" t="s">
        <v>89</v>
      </c>
      <c r="G47">
        <v>174</v>
      </c>
      <c r="H47">
        <v>0</v>
      </c>
      <c r="I47" s="3" t="str">
        <f>OutputTable[[#This Row],[ProjectName]]&amp;OutputTable[[#This Row],[Name]]&amp;OutputTable[[#This Row],[Type]]&amp;OutputTable[[#This Row],[Source]]</f>
        <v>Unnamed ProjectTapadoPro Number OutNumber OutProcess</v>
      </c>
      <c r="J47" s="3" cm="1">
        <f t="array" ref="J47">MAX(IF((ProjectInfoTable[ProjectName]=OutputTable[[#This Row],[ProjectName]]),(ProjectInfoTable[ProjectName]=OutputTable[[#This Row],[ProjectName]])*ProjectInfoTable[NumberOfReplications]))</f>
        <v>1</v>
      </c>
      <c r="K47" s="3" cm="1">
        <f t="array" ref="K47">IFERROR(AVERAGE(IF((OutputTable[GroupByKey]=OutputTable[[#This Row],[GroupByKey]]),(OutputTable[GroupByKey]=OutputTable[[#This Row],[GroupByKey]])*OutputTable[RecordedValue])),0)</f>
        <v>174</v>
      </c>
      <c r="L47" s="3" cm="1">
        <f t="array" ref="L47">IFERROR(_xlfn.STDEV.S(IF((OutputTable[GroupByKey]=OutputTable[[#This Row],[GroupByKey]]),(OutputTable[GroupByKey]=OutputTable[[#This Row],[GroupByKey]])*OutputTable[RecordedValue])),0)</f>
        <v>0</v>
      </c>
      <c r="M47" s="3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7" s="3" cm="1">
        <f t="array" ref="O47">MIN(IF((OutputTable[GroupByKey]=OutputTable[[#This Row],[GroupByKey]]),(OutputTable[GroupByKey]=OutputTable[[#This Row],[GroupByKey]])*OutputTable[RecordedValue]))</f>
        <v>174</v>
      </c>
      <c r="P47" s="3" cm="1">
        <f t="array" ref="P47">MAX(IF((OutputTable[GroupByKey]=OutputTable[[#This Row],[GroupByKey]]),(OutputTable[GroupByKey]=OutputTable[[#This Row],[GroupByKey]])*OutputTable[RecordedValue]))</f>
        <v>174</v>
      </c>
    </row>
    <row r="48" spans="1:16" x14ac:dyDescent="0.25">
      <c r="A48" t="s">
        <v>67</v>
      </c>
      <c r="B48" t="s">
        <v>69</v>
      </c>
      <c r="C48">
        <v>1</v>
      </c>
      <c r="D48" t="s">
        <v>178</v>
      </c>
      <c r="E48" t="s">
        <v>147</v>
      </c>
      <c r="F48" t="s">
        <v>89</v>
      </c>
      <c r="G48">
        <v>0</v>
      </c>
      <c r="H48">
        <v>0</v>
      </c>
      <c r="I48" s="3" t="str">
        <f>OutputTable[[#This Row],[ProjectName]]&amp;OutputTable[[#This Row],[Name]]&amp;OutputTable[[#This Row],[Type]]&amp;OutputTable[[#This Row],[Source]]</f>
        <v>Unnamed ProjectTapadoPro Total Accum CostTotal Accum CostProcess</v>
      </c>
      <c r="J48" s="3" cm="1">
        <f t="array" ref="J48">MAX(IF((ProjectInfoTable[ProjectName]=OutputTable[[#This Row],[ProjectName]]),(ProjectInfoTable[ProjectName]=OutputTable[[#This Row],[ProjectName]])*ProjectInfoTable[NumberOfReplications]))</f>
        <v>1</v>
      </c>
      <c r="K48" s="3" cm="1">
        <f t="array" ref="K48">IFERROR(AVERAGE(IF((OutputTable[GroupByKey]=OutputTable[[#This Row],[GroupByKey]]),(OutputTable[GroupByKey]=OutputTable[[#This Row],[GroupByKey]])*OutputTable[RecordedValue])),0)</f>
        <v>0</v>
      </c>
      <c r="L48" s="3" cm="1">
        <f t="array" ref="L48">IFERROR(_xlfn.STDEV.S(IF((OutputTable[GroupByKey]=OutputTable[[#This Row],[GroupByKey]]),(OutputTable[GroupByKey]=OutputTable[[#This Row],[GroupByKey]])*OutputTable[RecordedValue])),0)</f>
        <v>0</v>
      </c>
      <c r="M48" s="3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8" s="3" cm="1">
        <f t="array" ref="O48">MIN(IF((OutputTable[GroupByKey]=OutputTable[[#This Row],[GroupByKey]]),(OutputTable[GroupByKey]=OutputTable[[#This Row],[GroupByKey]])*OutputTable[RecordedValue]))</f>
        <v>0</v>
      </c>
      <c r="P48" s="3" cm="1">
        <f t="array" ref="P48">MAX(IF((OutputTable[GroupByKey]=OutputTable[[#This Row],[GroupByKey]]),(OutputTable[GroupByKey]=OutputTable[[#This Row],[GroupByKey]])*OutputTable[RecordedValue]))</f>
        <v>0</v>
      </c>
    </row>
    <row r="49" spans="1:16" x14ac:dyDescent="0.25">
      <c r="A49" t="s">
        <v>67</v>
      </c>
      <c r="B49" t="s">
        <v>69</v>
      </c>
      <c r="C49">
        <v>1</v>
      </c>
      <c r="D49" t="s">
        <v>179</v>
      </c>
      <c r="E49" t="s">
        <v>149</v>
      </c>
      <c r="F49" t="s">
        <v>89</v>
      </c>
      <c r="G49">
        <v>11.639299734747301</v>
      </c>
      <c r="H49">
        <v>0</v>
      </c>
      <c r="I49" s="3" t="str">
        <f>OutputTable[[#This Row],[ProjectName]]&amp;OutputTable[[#This Row],[Name]]&amp;OutputTable[[#This Row],[Type]]&amp;OutputTable[[#This Row],[Source]]</f>
        <v>Unnamed ProjectTapadoPro Total Accum TimeTotal Accum TimeProcess</v>
      </c>
      <c r="J49" s="3" cm="1">
        <f t="array" ref="J49">MAX(IF((ProjectInfoTable[ProjectName]=OutputTable[[#This Row],[ProjectName]]),(ProjectInfoTable[ProjectName]=OutputTable[[#This Row],[ProjectName]])*ProjectInfoTable[NumberOfReplications]))</f>
        <v>1</v>
      </c>
      <c r="K49" s="3" cm="1">
        <f t="array" ref="K49">IFERROR(AVERAGE(IF((OutputTable[GroupByKey]=OutputTable[[#This Row],[GroupByKey]]),(OutputTable[GroupByKey]=OutputTable[[#This Row],[GroupByKey]])*OutputTable[RecordedValue])),0)</f>
        <v>11.639299734747301</v>
      </c>
      <c r="L49" s="3" cm="1">
        <f t="array" ref="L49">IFERROR(_xlfn.STDEV.S(IF((OutputTable[GroupByKey]=OutputTable[[#This Row],[GroupByKey]]),(OutputTable[GroupByKey]=OutputTable[[#This Row],[GroupByKey]])*OutputTable[RecordedValue])),0)</f>
        <v>0</v>
      </c>
      <c r="M49" s="3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9" s="3" cm="1">
        <f t="array" ref="O49">MIN(IF((OutputTable[GroupByKey]=OutputTable[[#This Row],[GroupByKey]]),(OutputTable[GroupByKey]=OutputTable[[#This Row],[GroupByKey]])*OutputTable[RecordedValue]))</f>
        <v>11.639299734747301</v>
      </c>
      <c r="P49" s="3" cm="1">
        <f t="array" ref="P49">MAX(IF((OutputTable[GroupByKey]=OutputTable[[#This Row],[GroupByKey]]),(OutputTable[GroupByKey]=OutputTable[[#This Row],[GroupByKey]])*OutputTable[RecordedValue]))</f>
        <v>11.639299734747301</v>
      </c>
    </row>
    <row r="50" spans="1:16" x14ac:dyDescent="0.25">
      <c r="A50" t="s">
        <v>67</v>
      </c>
      <c r="B50" t="s">
        <v>69</v>
      </c>
      <c r="C50">
        <v>1</v>
      </c>
      <c r="D50" t="s">
        <v>180</v>
      </c>
      <c r="E50" t="s">
        <v>126</v>
      </c>
      <c r="F50" t="s">
        <v>112</v>
      </c>
      <c r="G50">
        <v>0</v>
      </c>
      <c r="H50">
        <v>0</v>
      </c>
      <c r="I50" s="3" t="str">
        <f>OutputTable[[#This Row],[ProjectName]]&amp;OutputTable[[#This Row],[Name]]&amp;OutputTable[[#This Row],[Type]]&amp;OutputTable[[#This Row],[Source]]</f>
        <v>Unnamed ProjectTapar.BusyCostBusy CostResource</v>
      </c>
      <c r="J50" s="3" cm="1">
        <f t="array" ref="J50">MAX(IF((ProjectInfoTable[ProjectName]=OutputTable[[#This Row],[ProjectName]]),(ProjectInfoTable[ProjectName]=OutputTable[[#This Row],[ProjectName]])*ProjectInfoTable[NumberOfReplications]))</f>
        <v>1</v>
      </c>
      <c r="K50" s="3" cm="1">
        <f t="array" ref="K50">IFERROR(AVERAGE(IF((OutputTable[GroupByKey]=OutputTable[[#This Row],[GroupByKey]]),(OutputTable[GroupByKey]=OutputTable[[#This Row],[GroupByKey]])*OutputTable[RecordedValue])),0)</f>
        <v>0</v>
      </c>
      <c r="L50" s="3" cm="1">
        <f t="array" ref="L50">IFERROR(_xlfn.STDEV.S(IF((OutputTable[GroupByKey]=OutputTable[[#This Row],[GroupByKey]]),(OutputTable[GroupByKey]=OutputTable[[#This Row],[GroupByKey]])*OutputTable[RecordedValue])),0)</f>
        <v>0</v>
      </c>
      <c r="M50" s="3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0" s="3" cm="1">
        <f t="array" ref="O50">MIN(IF((OutputTable[GroupByKey]=OutputTable[[#This Row],[GroupByKey]]),(OutputTable[GroupByKey]=OutputTable[[#This Row],[GroupByKey]])*OutputTable[RecordedValue]))</f>
        <v>0</v>
      </c>
      <c r="P50" s="3" cm="1">
        <f t="array" ref="P50">MAX(IF((OutputTable[GroupByKey]=OutputTable[[#This Row],[GroupByKey]]),(OutputTable[GroupByKey]=OutputTable[[#This Row],[GroupByKey]])*OutputTable[RecordedValue]))</f>
        <v>0</v>
      </c>
    </row>
    <row r="51" spans="1:16" x14ac:dyDescent="0.25">
      <c r="A51" t="s">
        <v>67</v>
      </c>
      <c r="B51" t="s">
        <v>69</v>
      </c>
      <c r="C51">
        <v>1</v>
      </c>
      <c r="D51" t="s">
        <v>181</v>
      </c>
      <c r="E51" t="s">
        <v>128</v>
      </c>
      <c r="F51" t="s">
        <v>112</v>
      </c>
      <c r="G51">
        <v>0</v>
      </c>
      <c r="H51">
        <v>0</v>
      </c>
      <c r="I51" s="3" t="str">
        <f>OutputTable[[#This Row],[ProjectName]]&amp;OutputTable[[#This Row],[Name]]&amp;OutputTable[[#This Row],[Type]]&amp;OutputTable[[#This Row],[Source]]</f>
        <v>Unnamed ProjectTapar.IdleCostIdle CostResource</v>
      </c>
      <c r="J51" s="3" cm="1">
        <f t="array" ref="J51">MAX(IF((ProjectInfoTable[ProjectName]=OutputTable[[#This Row],[ProjectName]]),(ProjectInfoTable[ProjectName]=OutputTable[[#This Row],[ProjectName]])*ProjectInfoTable[NumberOfReplications]))</f>
        <v>1</v>
      </c>
      <c r="K51" s="3" cm="1">
        <f t="array" ref="K51">IFERROR(AVERAGE(IF((OutputTable[GroupByKey]=OutputTable[[#This Row],[GroupByKey]]),(OutputTable[GroupByKey]=OutputTable[[#This Row],[GroupByKey]])*OutputTable[RecordedValue])),0)</f>
        <v>0</v>
      </c>
      <c r="L51" s="3" cm="1">
        <f t="array" ref="L51">IFERROR(_xlfn.STDEV.S(IF((OutputTable[GroupByKey]=OutputTable[[#This Row],[GroupByKey]]),(OutputTable[GroupByKey]=OutputTable[[#This Row],[GroupByKey]])*OutputTable[RecordedValue])),0)</f>
        <v>0</v>
      </c>
      <c r="M51" s="3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1" s="3" cm="1">
        <f t="array" ref="O51">MIN(IF((OutputTable[GroupByKey]=OutputTable[[#This Row],[GroupByKey]]),(OutputTable[GroupByKey]=OutputTable[[#This Row],[GroupByKey]])*OutputTable[RecordedValue]))</f>
        <v>0</v>
      </c>
      <c r="P51" s="3" cm="1">
        <f t="array" ref="P51">MAX(IF((OutputTable[GroupByKey]=OutputTable[[#This Row],[GroupByKey]]),(OutputTable[GroupByKey]=OutputTable[[#This Row],[GroupByKey]])*OutputTable[RecordedValue]))</f>
        <v>0</v>
      </c>
    </row>
    <row r="52" spans="1:16" x14ac:dyDescent="0.25">
      <c r="A52" t="s">
        <v>67</v>
      </c>
      <c r="B52" t="s">
        <v>69</v>
      </c>
      <c r="C52">
        <v>1</v>
      </c>
      <c r="D52" t="s">
        <v>182</v>
      </c>
      <c r="E52" t="s">
        <v>153</v>
      </c>
      <c r="F52" t="s">
        <v>112</v>
      </c>
      <c r="G52">
        <v>174</v>
      </c>
      <c r="H52">
        <v>0</v>
      </c>
      <c r="I52" s="3" t="str">
        <f>OutputTable[[#This Row],[ProjectName]]&amp;OutputTable[[#This Row],[Name]]&amp;OutputTable[[#This Row],[Type]]&amp;OutputTable[[#This Row],[Source]]</f>
        <v>Unnamed ProjectTapar.NumberSeizedTotal Number SeizedResource</v>
      </c>
      <c r="J52" s="3" cm="1">
        <f t="array" ref="J52">MAX(IF((ProjectInfoTable[ProjectName]=OutputTable[[#This Row],[ProjectName]]),(ProjectInfoTable[ProjectName]=OutputTable[[#This Row],[ProjectName]])*ProjectInfoTable[NumberOfReplications]))</f>
        <v>1</v>
      </c>
      <c r="K52" s="3" cm="1">
        <f t="array" ref="K52">IFERROR(AVERAGE(IF((OutputTable[GroupByKey]=OutputTable[[#This Row],[GroupByKey]]),(OutputTable[GroupByKey]=OutputTable[[#This Row],[GroupByKey]])*OutputTable[RecordedValue])),0)</f>
        <v>174</v>
      </c>
      <c r="L52" s="3" cm="1">
        <f t="array" ref="L52">IFERROR(_xlfn.STDEV.S(IF((OutputTable[GroupByKey]=OutputTable[[#This Row],[GroupByKey]]),(OutputTable[GroupByKey]=OutputTable[[#This Row],[GroupByKey]])*OutputTable[RecordedValue])),0)</f>
        <v>0</v>
      </c>
      <c r="M52" s="3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2" s="3" cm="1">
        <f t="array" ref="O52">MIN(IF((OutputTable[GroupByKey]=OutputTable[[#This Row],[GroupByKey]]),(OutputTable[GroupByKey]=OutputTable[[#This Row],[GroupByKey]])*OutputTable[RecordedValue]))</f>
        <v>174</v>
      </c>
      <c r="P52" s="3" cm="1">
        <f t="array" ref="P52">MAX(IF((OutputTable[GroupByKey]=OutputTable[[#This Row],[GroupByKey]]),(OutputTable[GroupByKey]=OutputTable[[#This Row],[GroupByKey]])*OutputTable[RecordedValue]))</f>
        <v>174</v>
      </c>
    </row>
    <row r="53" spans="1:16" x14ac:dyDescent="0.25">
      <c r="A53" t="s">
        <v>67</v>
      </c>
      <c r="B53" t="s">
        <v>69</v>
      </c>
      <c r="C53">
        <v>1</v>
      </c>
      <c r="D53" t="s">
        <v>183</v>
      </c>
      <c r="E53" t="s">
        <v>155</v>
      </c>
      <c r="F53" t="s">
        <v>112</v>
      </c>
      <c r="G53">
        <v>0.89789219508556795</v>
      </c>
      <c r="H53">
        <v>0</v>
      </c>
      <c r="I53" s="3" t="str">
        <f>OutputTable[[#This Row],[ProjectName]]&amp;OutputTable[[#This Row],[Name]]&amp;OutputTable[[#This Row],[Type]]&amp;OutputTable[[#This Row],[Source]]</f>
        <v>Unnamed ProjectTapar.ScheduledUtilizationScheduled UtilizationResource</v>
      </c>
      <c r="J53" s="3" cm="1">
        <f t="array" ref="J53">MAX(IF((ProjectInfoTable[ProjectName]=OutputTable[[#This Row],[ProjectName]]),(ProjectInfoTable[ProjectName]=OutputTable[[#This Row],[ProjectName]])*ProjectInfoTable[NumberOfReplications]))</f>
        <v>1</v>
      </c>
      <c r="K53" s="3" cm="1">
        <f t="array" ref="K53">IFERROR(AVERAGE(IF((OutputTable[GroupByKey]=OutputTable[[#This Row],[GroupByKey]]),(OutputTable[GroupByKey]=OutputTable[[#This Row],[GroupByKey]])*OutputTable[RecordedValue])),0)</f>
        <v>0.89789219508556795</v>
      </c>
      <c r="L53" s="3" cm="1">
        <f t="array" ref="L53">IFERROR(_xlfn.STDEV.S(IF((OutputTable[GroupByKey]=OutputTable[[#This Row],[GroupByKey]]),(OutputTable[GroupByKey]=OutputTable[[#This Row],[GroupByKey]])*OutputTable[RecordedValue])),0)</f>
        <v>0</v>
      </c>
      <c r="M53" s="3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3" s="3" cm="1">
        <f t="array" ref="O53">MIN(IF((OutputTable[GroupByKey]=OutputTable[[#This Row],[GroupByKey]]),(OutputTable[GroupByKey]=OutputTable[[#This Row],[GroupByKey]])*OutputTable[RecordedValue]))</f>
        <v>0.89789219508556795</v>
      </c>
      <c r="P53" s="3" cm="1">
        <f t="array" ref="P53">MAX(IF((OutputTable[GroupByKey]=OutputTable[[#This Row],[GroupByKey]]),(OutputTable[GroupByKey]=OutputTable[[#This Row],[GroupByKey]])*OutputTable[RecordedValue]))</f>
        <v>0.89789219508556795</v>
      </c>
    </row>
    <row r="54" spans="1:16" x14ac:dyDescent="0.25">
      <c r="A54" t="s">
        <v>67</v>
      </c>
      <c r="B54" t="s">
        <v>69</v>
      </c>
      <c r="C54">
        <v>1</v>
      </c>
      <c r="D54" t="s">
        <v>184</v>
      </c>
      <c r="E54" t="s">
        <v>131</v>
      </c>
      <c r="F54" t="s">
        <v>112</v>
      </c>
      <c r="G54">
        <v>0</v>
      </c>
      <c r="H54">
        <v>0</v>
      </c>
      <c r="I54" s="3" t="str">
        <f>OutputTable[[#This Row],[ProjectName]]&amp;OutputTable[[#This Row],[Name]]&amp;OutputTable[[#This Row],[Type]]&amp;OutputTable[[#This Row],[Source]]</f>
        <v>Unnamed ProjectTapar.UsageCostUsage CostResource</v>
      </c>
      <c r="J54" s="3" cm="1">
        <f t="array" ref="J54">MAX(IF((ProjectInfoTable[ProjectName]=OutputTable[[#This Row],[ProjectName]]),(ProjectInfoTable[ProjectName]=OutputTable[[#This Row],[ProjectName]])*ProjectInfoTable[NumberOfReplications]))</f>
        <v>1</v>
      </c>
      <c r="K54" s="3" cm="1">
        <f t="array" ref="K54">IFERROR(AVERAGE(IF((OutputTable[GroupByKey]=OutputTable[[#This Row],[GroupByKey]]),(OutputTable[GroupByKey]=OutputTable[[#This Row],[GroupByKey]])*OutputTable[RecordedValue])),0)</f>
        <v>0</v>
      </c>
      <c r="L54" s="3" cm="1">
        <f t="array" ref="L54">IFERROR(_xlfn.STDEV.S(IF((OutputTable[GroupByKey]=OutputTable[[#This Row],[GroupByKey]]),(OutputTable[GroupByKey]=OutputTable[[#This Row],[GroupByKey]])*OutputTable[RecordedValue])),0)</f>
        <v>0</v>
      </c>
      <c r="M54" s="3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4" s="3" cm="1">
        <f t="array" ref="O54">MIN(IF((OutputTable[GroupByKey]=OutputTable[[#This Row],[GroupByKey]]),(OutputTable[GroupByKey]=OutputTable[[#This Row],[GroupByKey]])*OutputTable[RecordedValue]))</f>
        <v>0</v>
      </c>
      <c r="P54" s="3" cm="1">
        <f t="array" ref="P54">MAX(IF((OutputTable[GroupByKey]=OutputTable[[#This Row],[GroupByKey]]),(OutputTable[GroupByKey]=OutputTable[[#This Row],[GroupByKey]])*OutputTable[RecordedValue]))</f>
        <v>0</v>
      </c>
    </row>
  </sheetData>
  <phoneticPr fontId="2" type="noConversion"/>
  <conditionalFormatting sqref="I2:P54">
    <cfRule type="expression" dxfId="10" priority="2">
      <formula>MOD(ROW(),2)=0</formula>
    </cfRule>
  </conditionalFormatting>
  <conditionalFormatting sqref="N2:N54">
    <cfRule type="expression" dxfId="9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V45"/>
  <sheetViews>
    <sheetView workbookViewId="0">
      <selection activeCell="A2" sqref="A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11.140625" bestFit="1" customWidth="1"/>
    <col min="6" max="6" width="9.28515625" bestFit="1" customWidth="1"/>
    <col min="7" max="7" width="21.42578125" bestFit="1" customWidth="1"/>
    <col min="8" max="8" width="22.5703125" bestFit="1" customWidth="1"/>
    <col min="9" max="9" width="25" bestFit="1" customWidth="1"/>
    <col min="10" max="10" width="26.140625" bestFit="1" customWidth="1"/>
    <col min="11" max="11" width="14.28515625" bestFit="1" customWidth="1"/>
    <col min="12" max="12" width="30" bestFit="1" customWidth="1"/>
    <col min="13" max="13" width="31.140625" bestFit="1" customWidth="1"/>
    <col min="14" max="14" width="17.28515625" bestFit="1" customWidth="1"/>
    <col min="15" max="15" width="29" bestFit="1" customWidth="1"/>
    <col min="16" max="16" width="30.140625" bestFit="1" customWidth="1"/>
    <col min="17" max="17" width="29.28515625" bestFit="1" customWidth="1"/>
    <col min="18" max="18" width="28.28515625" bestFit="1" customWidth="1"/>
    <col min="19" max="19" width="26.28515625" bestFit="1" customWidth="1"/>
    <col min="20" max="20" width="29.85546875" bestFit="1" customWidth="1"/>
    <col min="21" max="21" width="31.85546875" bestFit="1" customWidth="1"/>
    <col min="22" max="22" width="32.140625" bestFit="1" customWidth="1"/>
  </cols>
  <sheetData>
    <row r="1" spans="1:22" x14ac:dyDescent="0.2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24</v>
      </c>
      <c r="L1" t="s">
        <v>47</v>
      </c>
      <c r="M1" s="3" t="s">
        <v>48</v>
      </c>
      <c r="N1" s="3" t="s">
        <v>60</v>
      </c>
      <c r="O1" s="3" t="s">
        <v>29</v>
      </c>
      <c r="P1" s="3" t="s">
        <v>34</v>
      </c>
      <c r="Q1" s="3"/>
      <c r="R1" s="3"/>
      <c r="S1" s="3"/>
      <c r="T1" s="3"/>
      <c r="U1" s="3"/>
      <c r="V1" s="3"/>
    </row>
    <row r="2" spans="1:22" x14ac:dyDescent="0.25">
      <c r="Q2" s="3"/>
      <c r="R2" s="3"/>
      <c r="S2" s="3"/>
      <c r="T2" s="3"/>
      <c r="U2" s="3"/>
      <c r="V2" s="3"/>
    </row>
    <row r="3" spans="1:22" x14ac:dyDescent="0.25">
      <c r="Q3" s="3"/>
      <c r="R3" s="3"/>
      <c r="S3" s="3"/>
      <c r="T3" s="3"/>
      <c r="U3" s="3"/>
      <c r="V3" s="3"/>
    </row>
    <row r="4" spans="1:22" x14ac:dyDescent="0.25">
      <c r="Q4" s="3"/>
      <c r="R4" s="3"/>
      <c r="S4" s="3"/>
      <c r="T4" s="3"/>
      <c r="U4" s="3"/>
      <c r="V4" s="3"/>
    </row>
    <row r="5" spans="1:22" x14ac:dyDescent="0.25">
      <c r="Q5" s="3"/>
      <c r="R5" s="3"/>
      <c r="S5" s="3"/>
      <c r="T5" s="3"/>
      <c r="U5" s="3"/>
      <c r="V5" s="3"/>
    </row>
    <row r="6" spans="1:22" x14ac:dyDescent="0.25">
      <c r="Q6" s="3"/>
      <c r="R6" s="3"/>
      <c r="S6" s="3"/>
      <c r="T6" s="3"/>
      <c r="U6" s="3"/>
      <c r="V6" s="3"/>
    </row>
    <row r="7" spans="1:22" x14ac:dyDescent="0.25">
      <c r="Q7" s="3"/>
      <c r="R7" s="3"/>
      <c r="S7" s="3"/>
      <c r="T7" s="3"/>
      <c r="U7" s="3"/>
      <c r="V7" s="3"/>
    </row>
    <row r="8" spans="1:22" x14ac:dyDescent="0.25">
      <c r="Q8" s="3"/>
      <c r="R8" s="3"/>
      <c r="S8" s="3"/>
      <c r="T8" s="3"/>
      <c r="U8" s="3"/>
      <c r="V8" s="3"/>
    </row>
    <row r="9" spans="1:22" x14ac:dyDescent="0.25">
      <c r="Q9" s="3"/>
      <c r="R9" s="3"/>
      <c r="S9" s="3"/>
      <c r="T9" s="3"/>
      <c r="U9" s="3"/>
      <c r="V9" s="3"/>
    </row>
    <row r="10" spans="1:22" x14ac:dyDescent="0.25">
      <c r="Q10" s="3"/>
      <c r="R10" s="3"/>
      <c r="S10" s="3"/>
      <c r="T10" s="3"/>
      <c r="U10" s="3"/>
      <c r="V10" s="3"/>
    </row>
    <row r="11" spans="1:22" x14ac:dyDescent="0.25">
      <c r="Q11" s="3"/>
      <c r="R11" s="3"/>
      <c r="S11" s="3"/>
      <c r="T11" s="3"/>
      <c r="U11" s="3"/>
      <c r="V11" s="3"/>
    </row>
    <row r="12" spans="1:22" x14ac:dyDescent="0.25">
      <c r="Q12" s="3"/>
      <c r="R12" s="3"/>
      <c r="S12" s="3"/>
      <c r="T12" s="3"/>
      <c r="U12" s="3"/>
      <c r="V12" s="3"/>
    </row>
    <row r="13" spans="1:22" x14ac:dyDescent="0.25">
      <c r="Q13" s="3"/>
      <c r="R13" s="3"/>
      <c r="S13" s="3"/>
      <c r="T13" s="3"/>
      <c r="U13" s="3"/>
      <c r="V13" s="3"/>
    </row>
    <row r="17" spans="2:22" x14ac:dyDescent="0.25">
      <c r="B17" s="5"/>
      <c r="M17" s="3"/>
      <c r="N17" s="3"/>
      <c r="O17" s="3"/>
      <c r="P17" s="3"/>
    </row>
    <row r="18" spans="2:22" x14ac:dyDescent="0.25">
      <c r="B18" s="5"/>
    </row>
    <row r="19" spans="2:22" x14ac:dyDescent="0.25">
      <c r="B19" s="5"/>
    </row>
    <row r="20" spans="2:22" x14ac:dyDescent="0.25">
      <c r="B20" s="5"/>
    </row>
    <row r="21" spans="2:22" x14ac:dyDescent="0.25">
      <c r="B21" s="5"/>
    </row>
    <row r="22" spans="2:22" x14ac:dyDescent="0.25">
      <c r="B22" s="5"/>
    </row>
    <row r="23" spans="2:22" x14ac:dyDescent="0.25">
      <c r="B23" s="5"/>
    </row>
    <row r="24" spans="2:22" x14ac:dyDescent="0.25">
      <c r="B24" s="5"/>
    </row>
    <row r="25" spans="2:22" x14ac:dyDescent="0.25">
      <c r="B25" s="5"/>
    </row>
    <row r="26" spans="2:22" x14ac:dyDescent="0.25">
      <c r="B26" s="5"/>
    </row>
    <row r="27" spans="2:22" x14ac:dyDescent="0.25">
      <c r="B27" s="5"/>
    </row>
    <row r="28" spans="2:22" x14ac:dyDescent="0.25">
      <c r="B28" s="5"/>
    </row>
    <row r="29" spans="2:22" x14ac:dyDescent="0.25">
      <c r="B29" s="5"/>
    </row>
    <row r="30" spans="2:22" x14ac:dyDescent="0.25">
      <c r="B30" s="5"/>
    </row>
    <row r="31" spans="2:22" x14ac:dyDescent="0.25">
      <c r="B31" s="5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</row>
    <row r="45" spans="17:22" x14ac:dyDescent="0.25">
      <c r="Q45" s="3"/>
      <c r="R45" s="3"/>
      <c r="S45" s="3"/>
      <c r="T45" s="3"/>
      <c r="U45" s="3"/>
      <c r="V45" s="3"/>
    </row>
  </sheetData>
  <phoneticPr fontId="2" type="noConversion"/>
  <conditionalFormatting sqref="K1:P2 K17:P17 Q45:V45 K31:V31">
    <cfRule type="expression" dxfId="8" priority="1">
      <formula>MOD(ROW(),2)=0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Edwin Alejandro Forero Gómez</cp:lastModifiedBy>
  <cp:lastPrinted>2022-03-22T10:33:10Z</cp:lastPrinted>
  <dcterms:created xsi:type="dcterms:W3CDTF">2020-06-29T21:30:31Z</dcterms:created>
  <dcterms:modified xsi:type="dcterms:W3CDTF">2023-05-04T01:58:51Z</dcterms:modified>
</cp:coreProperties>
</file>