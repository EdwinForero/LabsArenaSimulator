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User\Edwin\Documents\Info Personal\University\2023 - I\Simulación\Arena\Passport\"/>
    </mc:Choice>
  </mc:AlternateContent>
  <xr:revisionPtr revIDLastSave="0" documentId="8_{5F56899B-9129-44BD-B39B-7EBFEC039C06}" xr6:coauthVersionLast="47" xr6:coauthVersionMax="47" xr10:uidLastSave="{00000000-0000-0000-0000-000000000000}"/>
  <bookViews>
    <workbookView xWindow="-120" yWindow="-120" windowWidth="29040" windowHeight="15720" tabRatio="790" activeTab="2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DiscreteTimeStatsByRep!$A$1:$K$21</definedName>
    <definedName name="ExternalData_1" localSheetId="6" hidden="1">FrequencyStatsByRep!$A$1:$J$2</definedName>
    <definedName name="ExternalData_1" localSheetId="5" hidden="1">OutputStatsByRep!$A$1:$H$28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70" r:id="rId8"/>
    <pivotCache cacheId="76" r:id="rId9"/>
    <pivotCache cacheId="82" r:id="rId10"/>
    <pivotCache cacheId="88" r:id="rId11"/>
    <pivotCache cacheId="9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L6" i="20" s="1" a="1"/>
  <c r="L6" i="20" s="1"/>
  <c r="I9" i="20"/>
  <c r="I10" i="20"/>
  <c r="L22" i="20" s="1" a="1"/>
  <c r="L22" i="20" s="1"/>
  <c r="I11" i="20"/>
  <c r="I12" i="20"/>
  <c r="I13" i="20"/>
  <c r="P5" i="20" s="1" a="1"/>
  <c r="P5" i="20" s="1"/>
  <c r="I14" i="20"/>
  <c r="P6" i="20" s="1" a="1"/>
  <c r="P6" i="20" s="1"/>
  <c r="I15" i="20"/>
  <c r="I16" i="20"/>
  <c r="O16" i="20" s="1" a="1"/>
  <c r="O16" i="20" s="1"/>
  <c r="I17" i="20"/>
  <c r="P17" i="20" s="1" a="1"/>
  <c r="P17" i="20" s="1"/>
  <c r="I18" i="20"/>
  <c r="I19" i="20"/>
  <c r="I20" i="20"/>
  <c r="I21" i="20"/>
  <c r="I22" i="20"/>
  <c r="I23" i="20"/>
  <c r="I24" i="20"/>
  <c r="I25" i="20"/>
  <c r="I26" i="20"/>
  <c r="I27" i="20"/>
  <c r="I28" i="20"/>
  <c r="J2" i="20" a="1"/>
  <c r="J2" i="20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/>
  <c r="J26" i="20" a="1"/>
  <c r="J26" i="20" s="1"/>
  <c r="J27" i="20" a="1"/>
  <c r="J27" i="20" s="1"/>
  <c r="J28" i="20" a="1"/>
  <c r="J28" i="20" s="1"/>
  <c r="K25" i="20" a="1"/>
  <c r="K25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/>
  <c r="M25" i="20" a="1"/>
  <c r="M25" i="20" s="1"/>
  <c r="M26" i="20" a="1"/>
  <c r="M26" i="20" s="1"/>
  <c r="M27" i="20" a="1"/>
  <c r="M27" i="20" s="1"/>
  <c r="M28" i="20" a="1"/>
  <c r="M28" i="20" s="1"/>
  <c r="O25" i="20" a="1"/>
  <c r="O25" i="20" s="1"/>
  <c r="P22" i="20" a="1"/>
  <c r="P22" i="20" s="1"/>
  <c r="M2" i="18"/>
  <c r="M3" i="18"/>
  <c r="P2" i="18" s="1" a="1"/>
  <c r="P2" i="18" s="1"/>
  <c r="M4" i="18"/>
  <c r="M5" i="18"/>
  <c r="M6" i="18"/>
  <c r="N2" i="18" a="1"/>
  <c r="N2" i="18" s="1"/>
  <c r="N3" i="18" a="1"/>
  <c r="N3" i="18" s="1"/>
  <c r="N4" i="18" a="1"/>
  <c r="N4" i="18" s="1"/>
  <c r="U4" i="18" s="1"/>
  <c r="N5" i="18" a="1"/>
  <c r="N5" i="18" s="1"/>
  <c r="N6" i="18" a="1"/>
  <c r="N6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P3" i="18" a="1"/>
  <c r="P3" i="18" s="1"/>
  <c r="P4" i="18" a="1"/>
  <c r="P4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N16" i="17" s="1" a="1"/>
  <c r="N16" i="17" s="1"/>
  <c r="L17" i="17"/>
  <c r="L18" i="17"/>
  <c r="L19" i="17"/>
  <c r="L20" i="17"/>
  <c r="L2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W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4" i="17" a="1"/>
  <c r="M14" i="17" s="1"/>
  <c r="W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20" i="17" a="1"/>
  <c r="M20" i="17" s="1"/>
  <c r="M21" i="17" a="1"/>
  <c r="M2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 s="1"/>
  <c r="G2" i="16"/>
  <c r="P14" i="20" l="1" a="1"/>
  <c r="P14" i="20" s="1"/>
  <c r="O28" i="20" a="1"/>
  <c r="O28" i="20" s="1"/>
  <c r="L15" i="20" a="1"/>
  <c r="L15" i="20" s="1"/>
  <c r="P21" i="20" a="1"/>
  <c r="P21" i="20" s="1"/>
  <c r="O27" i="20" a="1"/>
  <c r="O27" i="20" s="1"/>
  <c r="O3" i="20" a="1"/>
  <c r="O3" i="20" s="1"/>
  <c r="O24" i="20" a="1"/>
  <c r="O24" i="20" s="1"/>
  <c r="K9" i="20" a="1"/>
  <c r="K9" i="20" s="1"/>
  <c r="O17" i="20" a="1"/>
  <c r="O17" i="20" s="1"/>
  <c r="O8" i="20" a="1"/>
  <c r="O8" i="20" s="1"/>
  <c r="O14" i="20" a="1"/>
  <c r="O14" i="20" s="1"/>
  <c r="L14" i="20" a="1"/>
  <c r="L14" i="20" s="1"/>
  <c r="N14" i="20" s="1"/>
  <c r="K17" i="20" a="1"/>
  <c r="K17" i="20" s="1"/>
  <c r="P13" i="20" a="1"/>
  <c r="P13" i="20" s="1"/>
  <c r="N22" i="20"/>
  <c r="N15" i="20"/>
  <c r="N6" i="20"/>
  <c r="P23" i="20" a="1"/>
  <c r="P23" i="20" s="1"/>
  <c r="P15" i="20" a="1"/>
  <c r="P15" i="20" s="1"/>
  <c r="P7" i="20" a="1"/>
  <c r="P7" i="20" s="1"/>
  <c r="O26" i="20" a="1"/>
  <c r="O26" i="20" s="1"/>
  <c r="O18" i="20" a="1"/>
  <c r="O18" i="20" s="1"/>
  <c r="O10" i="20" a="1"/>
  <c r="O10" i="20" s="1"/>
  <c r="O2" i="20" a="1"/>
  <c r="O2" i="20" s="1"/>
  <c r="L21" i="20" a="1"/>
  <c r="L21" i="20" s="1"/>
  <c r="N21" i="20" s="1"/>
  <c r="L13" i="20" a="1"/>
  <c r="L13" i="20" s="1"/>
  <c r="N13" i="20" s="1"/>
  <c r="L5" i="20" a="1"/>
  <c r="L5" i="20" s="1"/>
  <c r="N5" i="20" s="1"/>
  <c r="K24" i="20" a="1"/>
  <c r="K24" i="20" s="1"/>
  <c r="K16" i="20" a="1"/>
  <c r="K16" i="20" s="1"/>
  <c r="K8" i="20" a="1"/>
  <c r="K8" i="20" s="1"/>
  <c r="O9" i="20" a="1"/>
  <c r="O9" i="20" s="1"/>
  <c r="L28" i="20" a="1"/>
  <c r="L28" i="20" s="1"/>
  <c r="N28" i="20" s="1"/>
  <c r="L20" i="20" a="1"/>
  <c r="L20" i="20" s="1"/>
  <c r="N20" i="20" s="1"/>
  <c r="L12" i="20" a="1"/>
  <c r="L12" i="20" s="1"/>
  <c r="N12" i="20" s="1"/>
  <c r="L4" i="20" a="1"/>
  <c r="L4" i="20" s="1"/>
  <c r="N4" i="20" s="1"/>
  <c r="K23" i="20" a="1"/>
  <c r="K23" i="20" s="1"/>
  <c r="K15" i="20" a="1"/>
  <c r="K15" i="20" s="1"/>
  <c r="K7" i="20" a="1"/>
  <c r="K7" i="20" s="1"/>
  <c r="L19" i="20" a="1"/>
  <c r="L19" i="20" s="1"/>
  <c r="N19" i="20" s="1"/>
  <c r="K6" i="20" a="1"/>
  <c r="K6" i="20" s="1"/>
  <c r="P28" i="20" a="1"/>
  <c r="P28" i="20" s="1"/>
  <c r="P20" i="20" a="1"/>
  <c r="P20" i="20" s="1"/>
  <c r="P12" i="20" a="1"/>
  <c r="P12" i="20" s="1"/>
  <c r="P4" i="20" a="1"/>
  <c r="P4" i="20" s="1"/>
  <c r="O23" i="20" a="1"/>
  <c r="O23" i="20" s="1"/>
  <c r="O15" i="20" a="1"/>
  <c r="O15" i="20" s="1"/>
  <c r="O7" i="20" a="1"/>
  <c r="O7" i="20" s="1"/>
  <c r="L11" i="20" a="1"/>
  <c r="L11" i="20" s="1"/>
  <c r="N11" i="20" s="1"/>
  <c r="K14" i="20" a="1"/>
  <c r="K14" i="20" s="1"/>
  <c r="L18" i="20" a="1"/>
  <c r="L18" i="20" s="1"/>
  <c r="N18" i="20" s="1"/>
  <c r="L2" i="20" a="1"/>
  <c r="L2" i="20" s="1"/>
  <c r="N2" i="20" s="1"/>
  <c r="K21" i="20" a="1"/>
  <c r="K21" i="20" s="1"/>
  <c r="K13" i="20" a="1"/>
  <c r="K13" i="20" s="1"/>
  <c r="K5" i="20" a="1"/>
  <c r="K5" i="20" s="1"/>
  <c r="L27" i="20" a="1"/>
  <c r="L27" i="20" s="1"/>
  <c r="N27" i="20" s="1"/>
  <c r="L3" i="20" a="1"/>
  <c r="L3" i="20" s="1"/>
  <c r="N3" i="20" s="1"/>
  <c r="L26" i="20" a="1"/>
  <c r="L26" i="20" s="1"/>
  <c r="N26" i="20" s="1"/>
  <c r="L10" i="20" a="1"/>
  <c r="L10" i="20" s="1"/>
  <c r="N10" i="20" s="1"/>
  <c r="P27" i="20" a="1"/>
  <c r="P27" i="20" s="1"/>
  <c r="P19" i="20" a="1"/>
  <c r="P19" i="20" s="1"/>
  <c r="P11" i="20" a="1"/>
  <c r="P11" i="20" s="1"/>
  <c r="P3" i="20" a="1"/>
  <c r="P3" i="20" s="1"/>
  <c r="O22" i="20" a="1"/>
  <c r="O22" i="20" s="1"/>
  <c r="O6" i="20" a="1"/>
  <c r="O6" i="20" s="1"/>
  <c r="K22" i="20" a="1"/>
  <c r="K22" i="20" s="1"/>
  <c r="L25" i="20" a="1"/>
  <c r="L25" i="20" s="1"/>
  <c r="N25" i="20" s="1"/>
  <c r="L17" i="20" a="1"/>
  <c r="L17" i="20" s="1"/>
  <c r="N17" i="20" s="1"/>
  <c r="L9" i="20" a="1"/>
  <c r="L9" i="20" s="1"/>
  <c r="N9" i="20" s="1"/>
  <c r="K28" i="20" a="1"/>
  <c r="K28" i="20" s="1"/>
  <c r="K20" i="20" a="1"/>
  <c r="K20" i="20" s="1"/>
  <c r="K12" i="20" a="1"/>
  <c r="K12" i="20" s="1"/>
  <c r="K4" i="20" a="1"/>
  <c r="K4" i="20" s="1"/>
  <c r="O5" i="20" a="1"/>
  <c r="O5" i="20" s="1"/>
  <c r="P26" i="20" a="1"/>
  <c r="P26" i="20" s="1"/>
  <c r="P2" i="20" a="1"/>
  <c r="P2" i="20" s="1"/>
  <c r="O13" i="20" a="1"/>
  <c r="O13" i="20" s="1"/>
  <c r="L16" i="20" a="1"/>
  <c r="L16" i="20" s="1"/>
  <c r="N16" i="20" s="1"/>
  <c r="L8" i="20" a="1"/>
  <c r="L8" i="20" s="1"/>
  <c r="N8" i="20" s="1"/>
  <c r="K27" i="20" a="1"/>
  <c r="K27" i="20" s="1"/>
  <c r="K19" i="20" a="1"/>
  <c r="K19" i="20" s="1"/>
  <c r="K11" i="20" a="1"/>
  <c r="K11" i="20" s="1"/>
  <c r="K3" i="20" a="1"/>
  <c r="K3" i="20" s="1"/>
  <c r="P10" i="20" a="1"/>
  <c r="P10" i="20" s="1"/>
  <c r="O21" i="20" a="1"/>
  <c r="O21" i="20" s="1"/>
  <c r="L24" i="20" a="1"/>
  <c r="L24" i="20" s="1"/>
  <c r="N24" i="20" s="1"/>
  <c r="P25" i="20" a="1"/>
  <c r="P25" i="20" s="1"/>
  <c r="P9" i="20" a="1"/>
  <c r="P9" i="20" s="1"/>
  <c r="O20" i="20" a="1"/>
  <c r="O20" i="20" s="1"/>
  <c r="O12" i="20" a="1"/>
  <c r="O12" i="20" s="1"/>
  <c r="O4" i="20" a="1"/>
  <c r="O4" i="20" s="1"/>
  <c r="L23" i="20" a="1"/>
  <c r="L23" i="20" s="1"/>
  <c r="N23" i="20" s="1"/>
  <c r="L7" i="20" a="1"/>
  <c r="L7" i="20" s="1"/>
  <c r="N7" i="20" s="1"/>
  <c r="K26" i="20" a="1"/>
  <c r="K26" i="20" s="1"/>
  <c r="K18" i="20" a="1"/>
  <c r="K18" i="20" s="1"/>
  <c r="K10" i="20" a="1"/>
  <c r="K10" i="20" s="1"/>
  <c r="K2" i="20" a="1"/>
  <c r="K2" i="20" s="1"/>
  <c r="P18" i="20" a="1"/>
  <c r="P18" i="20" s="1"/>
  <c r="P24" i="20" a="1"/>
  <c r="P24" i="20" s="1"/>
  <c r="P16" i="20" a="1"/>
  <c r="P16" i="20" s="1"/>
  <c r="P8" i="20" a="1"/>
  <c r="P8" i="20" s="1"/>
  <c r="O19" i="20" a="1"/>
  <c r="O19" i="20" s="1"/>
  <c r="O11" i="20" a="1"/>
  <c r="O11" i="20" s="1"/>
  <c r="R4" i="18"/>
  <c r="P6" i="18" a="1"/>
  <c r="P6" i="18" s="1"/>
  <c r="R6" i="18" s="1"/>
  <c r="P5" i="18" a="1"/>
  <c r="P5" i="18" s="1"/>
  <c r="R5" i="18" s="1"/>
  <c r="U5" i="18"/>
  <c r="U6" i="18"/>
  <c r="R3" i="18"/>
  <c r="U3" i="18"/>
  <c r="R2" i="18"/>
  <c r="U2" i="18"/>
  <c r="S6" i="17" a="1"/>
  <c r="S6" i="17" s="1"/>
  <c r="O15" i="17" a="1"/>
  <c r="O15" i="17" s="1"/>
  <c r="O20" i="17" a="1"/>
  <c r="O20" i="17" s="1"/>
  <c r="O2" i="17" a="1"/>
  <c r="O2" i="17" s="1"/>
  <c r="O18" i="17" a="1"/>
  <c r="O18" i="17" s="1"/>
  <c r="R10" i="17" a="1"/>
  <c r="R10" i="17" s="1"/>
  <c r="N20" i="17" a="1"/>
  <c r="N20" i="17" s="1"/>
  <c r="X6" i="17" a="1"/>
  <c r="X6" i="17" s="1"/>
  <c r="X4" i="17" a="1"/>
  <c r="X4" i="17" s="1"/>
  <c r="V12" i="17" a="1"/>
  <c r="V12" i="17" s="1"/>
  <c r="V10" i="17" a="1"/>
  <c r="V10" i="17" s="1"/>
  <c r="X20" i="17" a="1"/>
  <c r="X20" i="17" s="1"/>
  <c r="U16" i="17" a="1"/>
  <c r="U16" i="17" s="1"/>
  <c r="U14" i="17" a="1"/>
  <c r="U14" i="17" s="1"/>
  <c r="T18" i="17" a="1"/>
  <c r="T18" i="17" s="1"/>
  <c r="T2" i="17" a="1"/>
  <c r="T2" i="17" s="1"/>
  <c r="R18" i="17" a="1"/>
  <c r="R18" i="17" s="1"/>
  <c r="O5" i="17" a="1"/>
  <c r="O5" i="17" s="1"/>
  <c r="T20" i="17" a="1"/>
  <c r="T20" i="17" s="1"/>
  <c r="X21" i="17" a="1"/>
  <c r="X21" i="17" s="1"/>
  <c r="X5" i="17" a="1"/>
  <c r="X5" i="17" s="1"/>
  <c r="V11" i="17" a="1"/>
  <c r="V11" i="17" s="1"/>
  <c r="U15" i="17" a="1"/>
  <c r="U15" i="17" s="1"/>
  <c r="T19" i="17" a="1"/>
  <c r="T19" i="17" s="1"/>
  <c r="T3" i="17" a="1"/>
  <c r="T3" i="17" s="1"/>
  <c r="S7" i="17" a="1"/>
  <c r="S7" i="17" s="1"/>
  <c r="R11" i="17" a="1"/>
  <c r="R11" i="17" s="1"/>
  <c r="O19" i="17" a="1"/>
  <c r="O19" i="17" s="1"/>
  <c r="N21" i="17" a="1"/>
  <c r="N21" i="17" s="1"/>
  <c r="R8" i="17" a="1"/>
  <c r="R8" i="17" s="1"/>
  <c r="U13" i="17" a="1"/>
  <c r="U13" i="17" s="1"/>
  <c r="X18" i="17" a="1"/>
  <c r="X18" i="17" s="1"/>
  <c r="Y18" i="17" s="1"/>
  <c r="Q18" i="17" s="1"/>
  <c r="S19" i="17" a="1"/>
  <c r="S19" i="17" s="1"/>
  <c r="S3" i="17" a="1"/>
  <c r="S3" i="17" s="1"/>
  <c r="R7" i="17" a="1"/>
  <c r="R7" i="17" s="1"/>
  <c r="N11" i="17" a="1"/>
  <c r="N11" i="17" s="1"/>
  <c r="X3" i="17" a="1"/>
  <c r="X3" i="17" s="1"/>
  <c r="N13" i="17" a="1"/>
  <c r="N13" i="17" s="1"/>
  <c r="T16" i="17" a="1"/>
  <c r="T16" i="17" s="1"/>
  <c r="V6" i="17" a="1"/>
  <c r="V6" i="17" s="1"/>
  <c r="U10" i="17" a="1"/>
  <c r="U10" i="17" s="1"/>
  <c r="T14" i="17" a="1"/>
  <c r="T14" i="17" s="1"/>
  <c r="S18" i="17" a="1"/>
  <c r="S18" i="17" s="1"/>
  <c r="S2" i="17" a="1"/>
  <c r="S2" i="17" s="1"/>
  <c r="R6" i="17" a="1"/>
  <c r="R6" i="17" s="1"/>
  <c r="O14" i="17" a="1"/>
  <c r="O14" i="17" s="1"/>
  <c r="N3" i="17" a="1"/>
  <c r="N3" i="17" s="1"/>
  <c r="N4" i="17" a="1"/>
  <c r="N4" i="17" s="1"/>
  <c r="S5" i="17" a="1"/>
  <c r="S5" i="17" s="1"/>
  <c r="U11" i="17" a="1"/>
  <c r="U11" i="17" s="1"/>
  <c r="V5" i="17" a="1"/>
  <c r="V5" i="17" s="1"/>
  <c r="U9" i="17" a="1"/>
  <c r="U9" i="17" s="1"/>
  <c r="T13" i="17" a="1"/>
  <c r="T13" i="17" s="1"/>
  <c r="S17" i="17" a="1"/>
  <c r="S17" i="17" s="1"/>
  <c r="R21" i="17" a="1"/>
  <c r="R21" i="17" s="1"/>
  <c r="R5" i="17" a="1"/>
  <c r="R5" i="17" s="1"/>
  <c r="O13" i="17" a="1"/>
  <c r="O13" i="17" s="1"/>
  <c r="U12" i="17" a="1"/>
  <c r="U12" i="17" s="1"/>
  <c r="V20" i="17" a="1"/>
  <c r="V20" i="17" s="1"/>
  <c r="V4" i="17" a="1"/>
  <c r="V4" i="17" s="1"/>
  <c r="U8" i="17" a="1"/>
  <c r="U8" i="17" s="1"/>
  <c r="T12" i="17" a="1"/>
  <c r="T12" i="17" s="1"/>
  <c r="S16" i="17" a="1"/>
  <c r="S16" i="17" s="1"/>
  <c r="R20" i="17" a="1"/>
  <c r="R20" i="17" s="1"/>
  <c r="R4" i="17" a="1"/>
  <c r="R4" i="17" s="1"/>
  <c r="O12" i="17" a="1"/>
  <c r="O12" i="17" s="1"/>
  <c r="T17" i="17" a="1"/>
  <c r="T17" i="17" s="1"/>
  <c r="S4" i="17" a="1"/>
  <c r="S4" i="17" s="1"/>
  <c r="O16" i="17" a="1"/>
  <c r="O16" i="17" s="1"/>
  <c r="X16" i="17" a="1"/>
  <c r="X16" i="17" s="1"/>
  <c r="V19" i="17" a="1"/>
  <c r="V19" i="17" s="1"/>
  <c r="V3" i="17" a="1"/>
  <c r="V3" i="17" s="1"/>
  <c r="U7" i="17" a="1"/>
  <c r="U7" i="17" s="1"/>
  <c r="T11" i="17" a="1"/>
  <c r="T11" i="17" s="1"/>
  <c r="S15" i="17" a="1"/>
  <c r="S15" i="17" s="1"/>
  <c r="R19" i="17" a="1"/>
  <c r="R19" i="17" s="1"/>
  <c r="R3" i="17" a="1"/>
  <c r="R3" i="17" s="1"/>
  <c r="O11" i="17" a="1"/>
  <c r="O11" i="17" s="1"/>
  <c r="V9" i="17" a="1"/>
  <c r="V9" i="17" s="1"/>
  <c r="V8" i="17" a="1"/>
  <c r="V8" i="17" s="1"/>
  <c r="X13" i="17" a="1"/>
  <c r="X13" i="17" s="1"/>
  <c r="Y13" i="17" s="1"/>
  <c r="Q13" i="17" s="1"/>
  <c r="X12" i="17" a="1"/>
  <c r="X12" i="17" s="1"/>
  <c r="V18" i="17" a="1"/>
  <c r="V18" i="17" s="1"/>
  <c r="V2" i="17" a="1"/>
  <c r="V2" i="17" s="1"/>
  <c r="U6" i="17" a="1"/>
  <c r="U6" i="17" s="1"/>
  <c r="T10" i="17" a="1"/>
  <c r="T10" i="17" s="1"/>
  <c r="S14" i="17" a="1"/>
  <c r="S14" i="17" s="1"/>
  <c r="R2" i="17" a="1"/>
  <c r="R2" i="17" s="1"/>
  <c r="O10" i="17" a="1"/>
  <c r="O10" i="17" s="1"/>
  <c r="Y6" i="17"/>
  <c r="X19" i="17" a="1"/>
  <c r="X19" i="17" s="1"/>
  <c r="O17" i="17" a="1"/>
  <c r="O17" i="17" s="1"/>
  <c r="V7" i="17" a="1"/>
  <c r="V7" i="17" s="1"/>
  <c r="X11" i="17" a="1"/>
  <c r="X11" i="17" s="1"/>
  <c r="V17" i="17" a="1"/>
  <c r="V17" i="17" s="1"/>
  <c r="U21" i="17" a="1"/>
  <c r="U21" i="17" s="1"/>
  <c r="U5" i="17" a="1"/>
  <c r="U5" i="17" s="1"/>
  <c r="T9" i="17" a="1"/>
  <c r="T9" i="17" s="1"/>
  <c r="S13" i="17" a="1"/>
  <c r="S13" i="17" s="1"/>
  <c r="R17" i="17" a="1"/>
  <c r="R17" i="17" s="1"/>
  <c r="O9" i="17" a="1"/>
  <c r="O9" i="17" s="1"/>
  <c r="S21" i="17" a="1"/>
  <c r="S21" i="17" s="1"/>
  <c r="S20" i="17" a="1"/>
  <c r="S20" i="17" s="1"/>
  <c r="V21" i="17" a="1"/>
  <c r="V21" i="17" s="1"/>
  <c r="X10" i="17" a="1"/>
  <c r="X10" i="17" s="1"/>
  <c r="V16" i="17" a="1"/>
  <c r="V16" i="17" s="1"/>
  <c r="U20" i="17" a="1"/>
  <c r="U20" i="17" s="1"/>
  <c r="U4" i="17" a="1"/>
  <c r="U4" i="17" s="1"/>
  <c r="T8" i="17" a="1"/>
  <c r="T8" i="17" s="1"/>
  <c r="S12" i="17" a="1"/>
  <c r="S12" i="17" s="1"/>
  <c r="R16" i="17" a="1"/>
  <c r="R16" i="17" s="1"/>
  <c r="O8" i="17" a="1"/>
  <c r="O8" i="17" s="1"/>
  <c r="R9" i="17" a="1"/>
  <c r="R9" i="17" s="1"/>
  <c r="N18" i="17" a="1"/>
  <c r="N18" i="17" s="1"/>
  <c r="X9" i="17" a="1"/>
  <c r="X9" i="17" s="1"/>
  <c r="V15" i="17" a="1"/>
  <c r="V15" i="17" s="1"/>
  <c r="U19" i="17" a="1"/>
  <c r="U19" i="17" s="1"/>
  <c r="U3" i="17" a="1"/>
  <c r="U3" i="17" s="1"/>
  <c r="T7" i="17" a="1"/>
  <c r="T7" i="17" s="1"/>
  <c r="S11" i="17" a="1"/>
  <c r="S11" i="17" s="1"/>
  <c r="R15" i="17" a="1"/>
  <c r="R15" i="17" s="1"/>
  <c r="O7" i="17" a="1"/>
  <c r="O7" i="17" s="1"/>
  <c r="N19" i="17" a="1"/>
  <c r="N19" i="17" s="1"/>
  <c r="X17" i="17" a="1"/>
  <c r="X17" i="17" s="1"/>
  <c r="Y17" i="17" s="1"/>
  <c r="Q17" i="17" s="1"/>
  <c r="T15" i="17" a="1"/>
  <c r="T15" i="17" s="1"/>
  <c r="X15" i="17" a="1"/>
  <c r="X15" i="17" s="1"/>
  <c r="Y15" i="17" s="1"/>
  <c r="Q15" i="17" s="1"/>
  <c r="X14" i="17" a="1"/>
  <c r="X14" i="17" s="1"/>
  <c r="Y14" i="17" s="1"/>
  <c r="Q14" i="17" s="1"/>
  <c r="X8" i="17" a="1"/>
  <c r="X8" i="17" s="1"/>
  <c r="V14" i="17" a="1"/>
  <c r="V14" i="17" s="1"/>
  <c r="U18" i="17" a="1"/>
  <c r="U18" i="17" s="1"/>
  <c r="U2" i="17" a="1"/>
  <c r="U2" i="17" s="1"/>
  <c r="T6" i="17" a="1"/>
  <c r="T6" i="17" s="1"/>
  <c r="S10" i="17" a="1"/>
  <c r="S10" i="17" s="1"/>
  <c r="R14" i="17" a="1"/>
  <c r="R14" i="17" s="1"/>
  <c r="O6" i="17" a="1"/>
  <c r="O6" i="17" s="1"/>
  <c r="X2" i="17" a="1"/>
  <c r="X2" i="17" s="1"/>
  <c r="Y2" i="17" s="1"/>
  <c r="Q2" i="17" s="1"/>
  <c r="X7" i="17" a="1"/>
  <c r="X7" i="17" s="1"/>
  <c r="V13" i="17" a="1"/>
  <c r="V13" i="17" s="1"/>
  <c r="U17" i="17" a="1"/>
  <c r="U17" i="17" s="1"/>
  <c r="T21" i="17" a="1"/>
  <c r="T21" i="17" s="1"/>
  <c r="T5" i="17" a="1"/>
  <c r="T5" i="17" s="1"/>
  <c r="S9" i="17" a="1"/>
  <c r="S9" i="17" s="1"/>
  <c r="R13" i="17" a="1"/>
  <c r="R13" i="17" s="1"/>
  <c r="O21" i="17" a="1"/>
  <c r="O21" i="17" s="1"/>
  <c r="T4" i="17" a="1"/>
  <c r="T4" i="17" s="1"/>
  <c r="S8" i="17" a="1"/>
  <c r="S8" i="17" s="1"/>
  <c r="R12" i="17" a="1"/>
  <c r="R12" i="17" s="1"/>
  <c r="Y12" i="17"/>
  <c r="Q12" i="17" s="1"/>
  <c r="W12" i="17"/>
  <c r="Y11" i="17"/>
  <c r="Q11" i="17" s="1"/>
  <c r="W11" i="17"/>
  <c r="W18" i="17"/>
  <c r="W4" i="17"/>
  <c r="Y4" i="17"/>
  <c r="W17" i="17"/>
  <c r="W3" i="17"/>
  <c r="Y3" i="17"/>
  <c r="Y7" i="17"/>
  <c r="Q7" i="17" s="1"/>
  <c r="W7" i="17"/>
  <c r="Y16" i="17"/>
  <c r="Q16" i="17" s="1"/>
  <c r="W16" i="17"/>
  <c r="W2" i="17"/>
  <c r="W21" i="17"/>
  <c r="Y21" i="17"/>
  <c r="Y20" i="17"/>
  <c r="Q20" i="17" s="1"/>
  <c r="W20" i="17"/>
  <c r="W19" i="17"/>
  <c r="Y19" i="17"/>
  <c r="Q19" i="17" s="1"/>
  <c r="W10" i="17"/>
  <c r="Y10" i="17"/>
  <c r="Q10" i="17" s="1"/>
  <c r="Y9" i="17"/>
  <c r="Q9" i="17" s="1"/>
  <c r="W9" i="17"/>
  <c r="W8" i="17"/>
  <c r="Y8" i="17"/>
  <c r="Q8" i="17" s="1"/>
  <c r="W5" i="17"/>
  <c r="Y5" i="17"/>
  <c r="Q5" i="17" s="1"/>
  <c r="W15" i="17"/>
  <c r="W13" i="17"/>
  <c r="N12" i="17" a="1"/>
  <c r="N12" i="17" s="1"/>
  <c r="N2" i="17" a="1"/>
  <c r="N2" i="17" s="1"/>
  <c r="N10" i="17" a="1"/>
  <c r="N10" i="17" s="1"/>
  <c r="N9" i="17" a="1"/>
  <c r="N9" i="17" s="1"/>
  <c r="N17" i="17" a="1"/>
  <c r="N17" i="17" s="1"/>
  <c r="N8" i="17" a="1"/>
  <c r="N8" i="17" s="1"/>
  <c r="O4" i="17" a="1"/>
  <c r="O4" i="17" s="1"/>
  <c r="N7" i="17" a="1"/>
  <c r="N7" i="17" s="1"/>
  <c r="O3" i="17" a="1"/>
  <c r="O3" i="17" s="1"/>
  <c r="N15" i="17" a="1"/>
  <c r="N15" i="17" s="1"/>
  <c r="N14" i="17" a="1"/>
  <c r="N14" i="17" s="1"/>
  <c r="N6" i="17" a="1"/>
  <c r="N6" i="17" s="1"/>
  <c r="N5" i="17" a="1"/>
  <c r="N5" i="17" s="1"/>
  <c r="Q6" i="17" l="1"/>
  <c r="Q21" i="17"/>
  <c r="Q3" i="17"/>
  <c r="Q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7" saveData="1">
    <dbPr connection="Driver={SQLite3 ODBC Driver};Database=d:\user\edwin\documents\info personal\university\2023 - i\simulación\arena\passport\ejercicio 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7" saveData="1">
    <dbPr connection="Driver={SQLite3 ODBC Driver};Database=d:\user\edwin\documents\info personal\university\2023 - i\simulación\arena\passport\ejercicio 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7" saveData="1">
    <dbPr connection="Driver={SQLite3 ODBC Driver};Database=d:\user\edwin\documents\info personal\university\2023 - i\simulación\arena\passport\ejercicio 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7" saveData="1">
    <dbPr connection="Driver={SQLite3 ODBC Driver};Database=d:\user\edwin\documents\info personal\university\2023 - i\simulación\arena\passport\ejercicio 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7" saveData="1">
    <dbPr connection="Driver={SQLite3 ODBC Driver};Database=d:\user\edwin\documents\info personal\university\2023 - i\simulación\arena\passport\ejercicio 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7" saveData="1">
    <dbPr connection="Driver={SQLite3 ODBC Driver};Database=d:\user\edwin\documents\info personal\university\2023 - i\simulación\arena\passport\ejercicio 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<sst xmlns="http://schemas.openxmlformats.org/spreadsheetml/2006/main" count="563" uniqueCount="145">
  <si>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</si>
  <si>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</si>
  <si>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</si>
  <si>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</si>
  <si>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</si>
  <si>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</si>
  <si>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</si>
  <si>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</si>
  <si>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</si>
  <si>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</si>
  <si>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</si>
  <si>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</si>
  <si>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</si>
  <si>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</si>
  <si>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</si>
  <si>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</si>
  <si>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</si>
  <si>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</si>
  <si>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</si>
  <si>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</si>
  <si>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</si>
  <si>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</si>
  <si>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</si>
  <si>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</si>
  <si>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</si>
  <si>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</si>
  <si>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</si>
  <si>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</si>
  <si>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</si>
  <si>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</si>
  <si>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</si>
  <si>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</si>
  <si>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</si>
  <si>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</si>
  <si>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</si>
  <si>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</si>
  <si>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</si>
  <si>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</si>
  <si>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</si>
  <si>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</si>
  <si>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</si>
  <si>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</si>
  <si>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</si>
  <si>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</si>
  <si>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</si>
  <si>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</si>
  <si>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</si>
  <si>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</si>
  <si>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</si>
  <si>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</si>
  <si>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</si>
  <si>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</si>
  <si>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</si>
  <si>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</si>
  <si>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</si>
  <si>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</si>
  <si>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</si>
  <si>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</si>
  <si>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</si>
  <si>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</si>
  <si>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</si>
  <si>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</si>
  <si>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</si>
  <si>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</si>
  <si>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</si>
  <si>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</si>
  <si>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</si>
  <si>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</si>
  <si>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D:\User\Edwin\Documents\Info Personal\University\2023 - I\Simulación\Arena\Passport\Ejercicio 1.p</t>
  </si>
  <si>
    <t>2023-03-29 18:55:59</t>
  </si>
  <si>
    <t>Check for Proper Identification</t>
  </si>
  <si>
    <t>Total Cost Per Entity</t>
  </si>
  <si>
    <t>Process</t>
  </si>
  <si>
    <t>Total Time Per Entity</t>
  </si>
  <si>
    <t>VA Cost Per Entity</t>
  </si>
  <si>
    <t>VA Time Per Entity</t>
  </si>
  <si>
    <t>Wait Cost Per Entity</t>
  </si>
  <si>
    <t>Wait Time Per Entity</t>
  </si>
  <si>
    <t>Check for Proper Identification.Queue</t>
  </si>
  <si>
    <t>Waiting Cost</t>
  </si>
  <si>
    <t>Queue</t>
  </si>
  <si>
    <t>Waiting Time</t>
  </si>
  <si>
    <t>Passengers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</si>
  <si>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</si>
  <si>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</si>
  <si>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</si>
  <si>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</si>
  <si>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</si>
  <si>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</si>
  <si>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</si>
  <si>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</si>
  <si>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</si>
  <si>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</si>
  <si>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</si>
  <si>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</si>
  <si>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</si>
  <si>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Number Waiting</t>
  </si>
  <si>
    <t>WIP</t>
  </si>
  <si>
    <t>Transport Security Office</t>
  </si>
  <si>
    <t>Instantaneous Utilization</t>
  </si>
  <si>
    <t>Resource</t>
  </si>
  <si>
    <t>Number Busy</t>
  </si>
  <si>
    <t>Number Scheduled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</si>
  <si>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</si>
  <si>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</si>
  <si>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</si>
  <si>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</si>
  <si>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</si>
  <si>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</si>
  <si>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</si>
  <si>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</si>
  <si>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</si>
  <si>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</si>
  <si>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</si>
  <si>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</si>
  <si>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</si>
  <si>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</si>
  <si>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</si>
  <si>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Check for Proper Identification Accum VA Cost</t>
  </si>
  <si>
    <t>Accum VA Cost</t>
  </si>
  <si>
    <t>Check for Proper Identification Accum VA Time</t>
  </si>
  <si>
    <t>Accum VA Time</t>
  </si>
  <si>
    <t>Check for Proper Identification Accum Wait Cost</t>
  </si>
  <si>
    <t>Accum Wait Cost</t>
  </si>
  <si>
    <t>Check for Proper Identification Accum Wait Time</t>
  </si>
  <si>
    <t>Accum Wait Time</t>
  </si>
  <si>
    <t>Check for Proper Identification Number In</t>
  </si>
  <si>
    <t>Number In</t>
  </si>
  <si>
    <t>Check for Proper Identification Number Out</t>
  </si>
  <si>
    <t>Number Out</t>
  </si>
  <si>
    <t>Check for Proper Identification Total Accum Cost</t>
  </si>
  <si>
    <t>Total Accum Cost</t>
  </si>
  <si>
    <t>Check for Proper Identification Total Accum Time</t>
  </si>
  <si>
    <t>Total Accum Time</t>
  </si>
  <si>
    <t>Passengers.NumberIn</t>
  </si>
  <si>
    <t>Passengers.NumberOut</t>
  </si>
  <si>
    <t>System.NumberOut</t>
  </si>
  <si>
    <t>System.TotalCost</t>
  </si>
  <si>
    <t>Transport Security Office.BusyCost</t>
  </si>
  <si>
    <t>Transport Security Office.IdleCost</t>
  </si>
  <si>
    <t>Transport Security Office.NumberSeized</t>
  </si>
  <si>
    <t>Total Number Seized</t>
  </si>
  <si>
    <t>Transport Security Office.ScheduledUtilization</t>
  </si>
  <si>
    <t>Scheduled Utilization</t>
  </si>
  <si>
    <t>Transport Security Office.UsageCost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</si>
</sst>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NumberFormat="1"/>
    <xf numFmtId="0" fontId="0" fillId="0" borderId="0" xfId="0" pivotButton="1"/>
    <xf numFmtId="2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14.78914212963" createdVersion="7" refreshedVersion="7" minRefreshableVersion="3" recordCount="2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Check for Proper Identification"/>
        <s v="Check for Proper Identification.Queue"/>
        <s v="Passengers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22"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Interval" u="1"/>
      </sharedItems>
    </cacheField>
    <cacheField name="Source" numFmtId="0">
      <sharedItems containsBlank="1" count="5">
        <s v="Process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8.1727642113805103"/>
    </cacheField>
    <cacheField name="BatchMeansHalfWidth" numFmtId="0">
      <sharedItems containsSemiMixedTypes="0" containsString="0" containsNumber="1" minValue="0" maxValue="1.2641885683321601"/>
    </cacheField>
    <cacheField name="Minimum" numFmtId="0">
      <sharedItems containsSemiMixedTypes="0" containsString="0" containsNumber="1" minValue="0" maxValue="0.76600416894871204"/>
    </cacheField>
    <cacheField name="Maximum" numFmtId="0">
      <sharedItems containsSemiMixedTypes="0" containsString="0" containsNumber="1" minValue="0" maxValue="50.569694126636001"/>
    </cacheField>
    <cacheField name="NumberObservations" numFmtId="0">
      <sharedItems containsSemiMixedTypes="0" containsString="0" containsNumber="1" containsInteger="1" minValue="14311" maxValue="14312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8.172764211380510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8.1727642113805103"/>
    </cacheField>
    <cacheField name="MaximumAverage" numFmtId="0">
      <sharedItems containsSemiMixedTypes="0" containsString="0" containsNumber="1" minValue="0" maxValue="8.1727642113805103"/>
    </cacheField>
    <cacheField name="OverallMinimum" numFmtId="0">
      <sharedItems containsSemiMixedTypes="0" containsString="0" containsNumber="1" minValue="0" maxValue="0.76600416894871204"/>
    </cacheField>
    <cacheField name="OverallMaximum" numFmtId="0">
      <sharedItems containsSemiMixedTypes="0" containsString="0" containsNumber="1" minValue="0" maxValue="50.569694126636001"/>
    </cacheField>
    <cacheField name="AverageNumberObservations" numFmtId="0">
      <sharedItems containsSemiMixedTypes="0" containsString="0" containsNumber="1" containsInteger="1" minValue="14311" maxValue="14312"/>
    </cacheField>
    <cacheField name="SummaryHalfWidth" numFmtId="0">
      <sharedItems containsSemiMixedTypes="0" containsString="0" containsNumber="1" minValue="0" maxValue="1.2641885683321601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14.789142361115" createdVersion="7" refreshedVersion="7" minRefreshableVersion="3" recordCount="2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5"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heck for Proper Identification Accum VA Cost"/>
        <s v="Check for Proper Identification Accum VA Time"/>
        <s v="Check for Proper Identification Accum Wait Cost"/>
        <s v="Check for Proper Identification Accum Wait Time"/>
        <s v="Check for Proper Identification Number In"/>
        <s v="Check for Proper Identification Number Out"/>
        <s v="Check for Proper Identification Total Accum Cost"/>
        <s v="Check for Proper Identification Total Accum Time"/>
        <s v="Passengers.NumberIn"/>
        <s v="Passengers.NumberOut"/>
        <s v="System.NumberOut"/>
        <s v="System.TotalCost"/>
        <s v="Transport Security Office.BusyCost"/>
        <s v="Transport Security Office.IdleCost"/>
        <s v="Transport Security Office.NumberSeized"/>
        <s v="Transport Security Office.ScheduledUtilization"/>
        <s v="Transport Security Office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NVA Cost"/>
        <s v="Other Cost"/>
        <s v="Total Cost"/>
        <s v="Tran Cost"/>
        <s v="VA Cost"/>
        <s v="Wait Cost"/>
        <s v="Busy Cost"/>
        <s v="Idle Cost"/>
        <s v="Usage Cost"/>
        <s v="Accum VA Cost"/>
        <s v="Accum VA Time"/>
        <s v="Accum Wait Cost"/>
        <s v="Accum Wait Time"/>
        <s v="Number In"/>
        <s v="Number Out"/>
        <s v="Total Accum Cost"/>
        <s v="Total Accum Time"/>
        <s v="Total Number Seized"/>
        <s v="Scheduled Utilization"/>
        <m u="1"/>
      </sharedItems>
    </cacheField>
    <cacheField name="Source" numFmtId="0">
      <sharedItems containsBlank="1" count="5">
        <s v="System"/>
        <s v="Process"/>
        <s v="Entity"/>
        <s v="Resource"/>
        <m u="1"/>
      </sharedItems>
    </cacheField>
    <cacheField name="RecordedValue" numFmtId="0">
      <sharedItems containsSemiMixedTypes="0" containsString="0" containsNumber="1" minValue="0" maxValue="116960.42862906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116960.428629067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116960.428629067"/>
    </cacheField>
    <cacheField name="Maximum" numFmtId="0">
      <sharedItems containsSemiMixedTypes="0" containsString="0" containsNumber="1" minValue="0" maxValue="116960.4286290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14.789142592592" createdVersion="7" refreshedVersion="7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14.789142824076" createdVersion="7" refreshedVersion="7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7">
        <s v="Check for Proper Identification.Queue"/>
        <s v="Passengers"/>
        <s v="Transport Security Offic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.87257911265531496" maxValue="4.0613176778917701"/>
    </cacheField>
    <cacheField name="BatchMeansHalfWidth" numFmtId="0">
      <sharedItems containsSemiMixedTypes="0" containsString="0" containsNumber="1" minValue="1.3198890833247E-2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32"/>
    </cacheField>
    <cacheField name="LastRecordedValue" numFmtId="0">
      <sharedItems containsSemiMixedTypes="0" containsString="0" containsNumber="1" containsInteger="1" minValue="1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87257911265531496" maxValue="4.06131767789177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87257911265531496" maxValue="4.0613176778917701"/>
    </cacheField>
    <cacheField name="MaximumAverage" numFmtId="0">
      <sharedItems containsSemiMixedTypes="0" containsString="0" containsNumber="1" minValue="0.87257911265531496" maxValue="4.0613176778917701"/>
    </cacheField>
    <cacheField name="SummaryHalfWidth" numFmtId="0">
      <sharedItems containsSemiMixedTypes="0" containsString="0" containsNumber="1" minValue="1.3198890833247E-2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14.789142939815" createdVersion="7" refreshedVersion="7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2023-03-29 18:55:59"/>
    <n v="1"/>
    <x v="0"/>
    <x v="0"/>
    <x v="0"/>
    <n v="0.35117692982971499"/>
    <n v="1.65262301432855E-3"/>
    <n v="0.15067319281952199"/>
    <n v="0.59717767249967402"/>
    <n v="14311"/>
    <s v="Unnamed ProjectCheck for Proper IdentificationTotal Cost Per EntityProcess"/>
    <n v="1"/>
    <n v="0.35117692982971499"/>
    <n v="0"/>
    <n v="0.95"/>
    <n v="4E+20"/>
    <n v="0.35117692982971499"/>
    <n v="0.35117692982971499"/>
    <n v="0.15067319281952199"/>
    <n v="0.59717767249967402"/>
    <n v="14311"/>
    <n v="1.65262301432855E-3"/>
    <n v="1"/>
    <n v="1"/>
  </r>
  <r>
    <x v="0"/>
    <s v="2023-03-29 18:55:59"/>
    <n v="1"/>
    <x v="0"/>
    <x v="1"/>
    <x v="0"/>
    <n v="8.1727642113805103"/>
    <n v="1.2641885683321601"/>
    <n v="0.76600416894871204"/>
    <n v="50.569694126636001"/>
    <n v="14311"/>
    <s v="Unnamed ProjectCheck for Proper IdentificationTotal Time Per EntityProcess"/>
    <n v="1"/>
    <n v="8.1727642113805103"/>
    <n v="0"/>
    <n v="0.95"/>
    <n v="4E+20"/>
    <n v="8.1727642113805103"/>
    <n v="8.1727642113805103"/>
    <n v="0.76600416894871204"/>
    <n v="50.569694126636001"/>
    <n v="14311"/>
    <n v="1.2641885683321601"/>
    <n v="1"/>
    <n v="1"/>
  </r>
  <r>
    <x v="0"/>
    <s v="2023-03-29 18:55:59"/>
    <n v="1"/>
    <x v="0"/>
    <x v="2"/>
    <x v="0"/>
    <n v="0.35117692982971499"/>
    <n v="1.65262301432855E-3"/>
    <n v="0.15067319281952199"/>
    <n v="0.59717767249967402"/>
    <n v="14311"/>
    <s v="Unnamed ProjectCheck for Proper IdentificationVA Cost Per EntityProcess"/>
    <n v="1"/>
    <n v="0.35117692982971499"/>
    <n v="0"/>
    <n v="0.95"/>
    <n v="4E+20"/>
    <n v="0.35117692982971499"/>
    <n v="0.35117692982971499"/>
    <n v="0.15067319281952199"/>
    <n v="0.59717767249967402"/>
    <n v="14311"/>
    <n v="1.65262301432855E-3"/>
    <n v="1"/>
    <n v="1"/>
  </r>
  <r>
    <x v="0"/>
    <s v="2023-03-29 18:55:59"/>
    <n v="1"/>
    <x v="0"/>
    <x v="3"/>
    <x v="0"/>
    <n v="1.75588464914857"/>
    <n v="8.2631150716427904E-3"/>
    <n v="0.75336596409761103"/>
    <n v="2.9858883624983701"/>
    <n v="14311"/>
    <s v="Unnamed ProjectCheck for Proper IdentificationVA Time Per EntityProcess"/>
    <n v="1"/>
    <n v="1.75588464914857"/>
    <n v="0"/>
    <n v="0.95"/>
    <n v="4E+20"/>
    <n v="1.75588464914857"/>
    <n v="1.75588464914857"/>
    <n v="0.75336596409761103"/>
    <n v="2.9858883624983701"/>
    <n v="14311"/>
    <n v="8.2631150716427904E-3"/>
    <n v="1"/>
    <n v="1"/>
  </r>
  <r>
    <x v="0"/>
    <s v="2023-03-29 18:55:59"/>
    <n v="1"/>
    <x v="0"/>
    <x v="4"/>
    <x v="0"/>
    <n v="0"/>
    <n v="0"/>
    <n v="0"/>
    <n v="0"/>
    <n v="14311"/>
    <s v="Unnamed ProjectCheck for Proper IdentificationWait Cost Per EntityProcess"/>
    <n v="1"/>
    <n v="0"/>
    <n v="0"/>
    <n v="0.95"/>
    <n v="4E+20"/>
    <n v="0"/>
    <n v="0"/>
    <n v="0"/>
    <n v="0"/>
    <n v="14311"/>
    <n v="0"/>
    <n v="1"/>
    <n v="1"/>
  </r>
  <r>
    <x v="0"/>
    <s v="2023-03-29 18:55:59"/>
    <n v="1"/>
    <x v="0"/>
    <x v="5"/>
    <x v="0"/>
    <n v="6.4168795622319301"/>
    <n v="1.2632929695408901"/>
    <n v="0"/>
    <n v="49.010029697576101"/>
    <n v="14311"/>
    <s v="Unnamed ProjectCheck for Proper IdentificationWait Time Per EntityProcess"/>
    <n v="1"/>
    <n v="6.4168795622319301"/>
    <n v="0"/>
    <n v="0.95"/>
    <n v="4E+20"/>
    <n v="6.4168795622319301"/>
    <n v="6.4168795622319301"/>
    <n v="0"/>
    <n v="49.010029697576101"/>
    <n v="14311"/>
    <n v="1.2632929695408901"/>
    <n v="1"/>
    <n v="1"/>
  </r>
  <r>
    <x v="0"/>
    <s v="2023-03-29 18:55:59"/>
    <n v="1"/>
    <x v="1"/>
    <x v="6"/>
    <x v="1"/>
    <n v="0"/>
    <n v="0"/>
    <n v="0"/>
    <n v="0"/>
    <n v="14312"/>
    <s v="Unnamed ProjectCheck for Proper Identification.QueueWaiting CostQueue"/>
    <n v="1"/>
    <n v="0"/>
    <n v="0"/>
    <n v="0.95"/>
    <n v="4E+20"/>
    <n v="0"/>
    <n v="0"/>
    <n v="0"/>
    <n v="0"/>
    <n v="14312"/>
    <n v="0"/>
    <n v="1"/>
    <n v="1"/>
  </r>
  <r>
    <x v="0"/>
    <s v="2023-03-29 18:55:59"/>
    <n v="1"/>
    <x v="1"/>
    <x v="7"/>
    <x v="1"/>
    <n v="6.4165273746336204"/>
    <n v="1.2632929695408901"/>
    <n v="0"/>
    <n v="49.010029697576101"/>
    <n v="14312"/>
    <s v="Unnamed ProjectCheck for Proper Identification.QueueWaiting TimeQueue"/>
    <n v="1"/>
    <n v="6.4165273746336204"/>
    <n v="0"/>
    <n v="0.95"/>
    <n v="4E+20"/>
    <n v="6.4165273746336204"/>
    <n v="6.4165273746336204"/>
    <n v="0"/>
    <n v="49.010029697576101"/>
    <n v="14312"/>
    <n v="1.2632929695408901"/>
    <n v="1"/>
    <n v="1"/>
  </r>
  <r>
    <x v="0"/>
    <s v="2023-03-29 18:55:59"/>
    <n v="1"/>
    <x v="2"/>
    <x v="8"/>
    <x v="2"/>
    <n v="0"/>
    <n v="0"/>
    <n v="0"/>
    <n v="0"/>
    <n v="14311"/>
    <s v="Unnamed ProjectPassengersNVA CostEntity"/>
    <n v="1"/>
    <n v="0"/>
    <n v="0"/>
    <n v="0.95"/>
    <n v="4E+20"/>
    <n v="0"/>
    <n v="0"/>
    <n v="0"/>
    <n v="0"/>
    <n v="14311"/>
    <n v="0"/>
    <n v="1"/>
    <n v="1"/>
  </r>
  <r>
    <x v="0"/>
    <s v="2023-03-29 18:55:59"/>
    <n v="1"/>
    <x v="2"/>
    <x v="9"/>
    <x v="2"/>
    <n v="0"/>
    <n v="0"/>
    <n v="0"/>
    <n v="0"/>
    <n v="14311"/>
    <s v="Unnamed ProjectPassengersNVA TimeEntity"/>
    <n v="1"/>
    <n v="0"/>
    <n v="0"/>
    <n v="0.95"/>
    <n v="4E+20"/>
    <n v="0"/>
    <n v="0"/>
    <n v="0"/>
    <n v="0"/>
    <n v="14311"/>
    <n v="0"/>
    <n v="1"/>
    <n v="1"/>
  </r>
  <r>
    <x v="0"/>
    <s v="2023-03-29 18:55:59"/>
    <n v="1"/>
    <x v="2"/>
    <x v="10"/>
    <x v="2"/>
    <n v="0"/>
    <n v="0"/>
    <n v="0"/>
    <n v="0"/>
    <n v="14311"/>
    <s v="Unnamed ProjectPassengersOther CostEntity"/>
    <n v="1"/>
    <n v="0"/>
    <n v="0"/>
    <n v="0.95"/>
    <n v="4E+20"/>
    <n v="0"/>
    <n v="0"/>
    <n v="0"/>
    <n v="0"/>
    <n v="14311"/>
    <n v="0"/>
    <n v="1"/>
    <n v="1"/>
  </r>
  <r>
    <x v="0"/>
    <s v="2023-03-29 18:55:59"/>
    <n v="1"/>
    <x v="2"/>
    <x v="11"/>
    <x v="2"/>
    <n v="0"/>
    <n v="0"/>
    <n v="0"/>
    <n v="0"/>
    <n v="14311"/>
    <s v="Unnamed ProjectPassengersOther TimeEntity"/>
    <n v="1"/>
    <n v="0"/>
    <n v="0"/>
    <n v="0.95"/>
    <n v="4E+20"/>
    <n v="0"/>
    <n v="0"/>
    <n v="0"/>
    <n v="0"/>
    <n v="14311"/>
    <n v="0"/>
    <n v="1"/>
    <n v="1"/>
  </r>
  <r>
    <x v="0"/>
    <s v="2023-03-29 18:55:59"/>
    <n v="1"/>
    <x v="2"/>
    <x v="12"/>
    <x v="2"/>
    <n v="0.35117692982971499"/>
    <n v="1.65262301432855E-3"/>
    <n v="0.15067319281952199"/>
    <n v="0.59717767249967402"/>
    <n v="14311"/>
    <s v="Unnamed ProjectPassengersTotal CostEntity"/>
    <n v="1"/>
    <n v="0.35117692982971499"/>
    <n v="0"/>
    <n v="0.95"/>
    <n v="4E+20"/>
    <n v="0.35117692982971499"/>
    <n v="0.35117692982971499"/>
    <n v="0.15067319281952199"/>
    <n v="0.59717767249967402"/>
    <n v="14311"/>
    <n v="1.65262301432855E-3"/>
    <n v="1"/>
    <n v="1"/>
  </r>
  <r>
    <x v="0"/>
    <s v="2023-03-29 18:55:59"/>
    <n v="1"/>
    <x v="2"/>
    <x v="13"/>
    <x v="2"/>
    <n v="8.1727642113805103"/>
    <n v="1.2641885683321601"/>
    <n v="0.76600416894871204"/>
    <n v="50.569694126636001"/>
    <n v="14311"/>
    <s v="Unnamed ProjectPassengersTotal TimeEntity"/>
    <n v="1"/>
    <n v="8.1727642113805103"/>
    <n v="0"/>
    <n v="0.95"/>
    <n v="4E+20"/>
    <n v="8.1727642113805103"/>
    <n v="8.1727642113805103"/>
    <n v="0.76600416894871204"/>
    <n v="50.569694126636001"/>
    <n v="14311"/>
    <n v="1.2641885683321601"/>
    <n v="1"/>
    <n v="1"/>
  </r>
  <r>
    <x v="0"/>
    <s v="2023-03-29 18:55:59"/>
    <n v="1"/>
    <x v="2"/>
    <x v="14"/>
    <x v="2"/>
    <n v="0"/>
    <n v="0"/>
    <n v="0"/>
    <n v="0"/>
    <n v="14311"/>
    <s v="Unnamed ProjectPassengersTransfer CostEntity"/>
    <n v="1"/>
    <n v="0"/>
    <n v="0"/>
    <n v="0.95"/>
    <n v="4E+20"/>
    <n v="0"/>
    <n v="0"/>
    <n v="0"/>
    <n v="0"/>
    <n v="14311"/>
    <n v="0"/>
    <n v="1"/>
    <n v="1"/>
  </r>
  <r>
    <x v="0"/>
    <s v="2023-03-29 18:55:59"/>
    <n v="1"/>
    <x v="2"/>
    <x v="15"/>
    <x v="2"/>
    <n v="0"/>
    <n v="0"/>
    <n v="0"/>
    <n v="0"/>
    <n v="14311"/>
    <s v="Unnamed ProjectPassengersTransfer TimeEntity"/>
    <n v="1"/>
    <n v="0"/>
    <n v="0"/>
    <n v="0.95"/>
    <n v="4E+20"/>
    <n v="0"/>
    <n v="0"/>
    <n v="0"/>
    <n v="0"/>
    <n v="14311"/>
    <n v="0"/>
    <n v="1"/>
    <n v="1"/>
  </r>
  <r>
    <x v="0"/>
    <s v="2023-03-29 18:55:59"/>
    <n v="1"/>
    <x v="2"/>
    <x v="16"/>
    <x v="2"/>
    <n v="0.35117692982971499"/>
    <n v="1.65262301432855E-3"/>
    <n v="0.15067319281952199"/>
    <n v="0.59717767249967402"/>
    <n v="14311"/>
    <s v="Unnamed ProjectPassengersVA CostEntity"/>
    <n v="1"/>
    <n v="0.35117692982971499"/>
    <n v="0"/>
    <n v="0.95"/>
    <n v="4E+20"/>
    <n v="0.35117692982971499"/>
    <n v="0.35117692982971499"/>
    <n v="0.15067319281952199"/>
    <n v="0.59717767249967402"/>
    <n v="14311"/>
    <n v="1.65262301432855E-3"/>
    <n v="1"/>
    <n v="1"/>
  </r>
  <r>
    <x v="0"/>
    <s v="2023-03-29 18:55:59"/>
    <n v="1"/>
    <x v="2"/>
    <x v="17"/>
    <x v="2"/>
    <n v="1.75588464914857"/>
    <n v="8.2631150716427904E-3"/>
    <n v="0.75336596409761103"/>
    <n v="2.9858883624983701"/>
    <n v="14311"/>
    <s v="Unnamed ProjectPassengersVA TimeEntity"/>
    <n v="1"/>
    <n v="1.75588464914857"/>
    <n v="0"/>
    <n v="0.95"/>
    <n v="4E+20"/>
    <n v="1.75588464914857"/>
    <n v="1.75588464914857"/>
    <n v="0.75336596409761103"/>
    <n v="2.9858883624983701"/>
    <n v="14311"/>
    <n v="8.2631150716427904E-3"/>
    <n v="1"/>
    <n v="1"/>
  </r>
  <r>
    <x v="0"/>
    <s v="2023-03-29 18:55:59"/>
    <n v="1"/>
    <x v="2"/>
    <x v="18"/>
    <x v="2"/>
    <n v="0"/>
    <n v="0"/>
    <n v="0"/>
    <n v="0"/>
    <n v="14311"/>
    <s v="Unnamed ProjectPassengersWait CostEntity"/>
    <n v="1"/>
    <n v="0"/>
    <n v="0"/>
    <n v="0.95"/>
    <n v="4E+20"/>
    <n v="0"/>
    <n v="0"/>
    <n v="0"/>
    <n v="0"/>
    <n v="14311"/>
    <n v="0"/>
    <n v="1"/>
    <n v="1"/>
  </r>
  <r>
    <x v="0"/>
    <s v="2023-03-29 18:55:59"/>
    <n v="1"/>
    <x v="2"/>
    <x v="19"/>
    <x v="2"/>
    <n v="6.4168795622319301"/>
    <n v="1.2632929695408901"/>
    <n v="0"/>
    <n v="49.010029697576101"/>
    <n v="14311"/>
    <s v="Unnamed ProjectPassengersWait TimeEntity"/>
    <n v="1"/>
    <n v="6.4168795622319301"/>
    <n v="0"/>
    <n v="0.95"/>
    <n v="4E+20"/>
    <n v="6.4168795622319301"/>
    <n v="6.4168795622319301"/>
    <n v="0"/>
    <n v="49.010029697576101"/>
    <n v="14311"/>
    <n v="1.263292969540890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s v="2023-03-29 18:55:59"/>
    <n v="1"/>
    <x v="0"/>
    <x v="0"/>
    <x v="0"/>
    <n v="0"/>
    <n v="0"/>
    <s v="Unnamed ProjectAll Entities.NVACostNVA CostSystem"/>
    <n v="1"/>
    <n v="0"/>
    <n v="0"/>
    <n v="0.95"/>
    <n v="4E+20"/>
    <n v="0"/>
    <n v="0"/>
  </r>
  <r>
    <x v="0"/>
    <s v="2023-03-29 18:55:59"/>
    <n v="1"/>
    <x v="1"/>
    <x v="1"/>
    <x v="0"/>
    <n v="0"/>
    <n v="0"/>
    <s v="Unnamed ProjectAll Entities.OtherCostOther CostSystem"/>
    <n v="1"/>
    <n v="0"/>
    <n v="0"/>
    <n v="0.95"/>
    <n v="4E+20"/>
    <n v="0"/>
    <n v="0"/>
  </r>
  <r>
    <x v="0"/>
    <s v="2023-03-29 18:55:59"/>
    <n v="1"/>
    <x v="2"/>
    <x v="2"/>
    <x v="0"/>
    <n v="5025.6930427930502"/>
    <n v="0"/>
    <s v="Unnamed ProjectAll Entities.TotalCostTotal CostSystem"/>
    <n v="1"/>
    <n v="5025.6930427930502"/>
    <n v="0"/>
    <n v="0.95"/>
    <n v="4E+20"/>
    <n v="5025.6930427930502"/>
    <n v="5025.6930427930502"/>
  </r>
  <r>
    <x v="0"/>
    <s v="2023-03-29 18:55:59"/>
    <n v="1"/>
    <x v="3"/>
    <x v="3"/>
    <x v="0"/>
    <n v="0"/>
    <n v="0"/>
    <s v="Unnamed ProjectAll Entities.TranCostTran CostSystem"/>
    <n v="1"/>
    <n v="0"/>
    <n v="0"/>
    <n v="0.95"/>
    <n v="4E+20"/>
    <n v="0"/>
    <n v="0"/>
  </r>
  <r>
    <x v="0"/>
    <s v="2023-03-29 18:55:59"/>
    <n v="1"/>
    <x v="4"/>
    <x v="4"/>
    <x v="0"/>
    <n v="5025.6930427930502"/>
    <n v="0"/>
    <s v="Unnamed ProjectAll Entities.VACostVA CostSystem"/>
    <n v="1"/>
    <n v="5025.6930427930502"/>
    <n v="0"/>
    <n v="0.95"/>
    <n v="4E+20"/>
    <n v="5025.6930427930502"/>
    <n v="5025.6930427930502"/>
  </r>
  <r>
    <x v="0"/>
    <s v="2023-03-29 18:55:59"/>
    <n v="1"/>
    <x v="5"/>
    <x v="5"/>
    <x v="0"/>
    <n v="0"/>
    <n v="0"/>
    <s v="Unnamed ProjectAll Entities.WaitCostWait CostSystem"/>
    <n v="1"/>
    <n v="0"/>
    <n v="0"/>
    <n v="0.95"/>
    <n v="4E+20"/>
    <n v="0"/>
    <n v="0"/>
  </r>
  <r>
    <x v="0"/>
    <s v="2023-03-29 18:55:59"/>
    <n v="1"/>
    <x v="6"/>
    <x v="6"/>
    <x v="0"/>
    <n v="5025.6930427930502"/>
    <n v="0"/>
    <s v="Unnamed ProjectAll Resources.BusyCostBusy CostSystem"/>
    <n v="1"/>
    <n v="5025.6930427930502"/>
    <n v="0"/>
    <n v="0.95"/>
    <n v="4E+20"/>
    <n v="5025.6930427930502"/>
    <n v="5025.6930427930502"/>
  </r>
  <r>
    <x v="0"/>
    <s v="2023-03-29 18:55:59"/>
    <n v="1"/>
    <x v="7"/>
    <x v="7"/>
    <x v="0"/>
    <n v="733.94431110540302"/>
    <n v="0"/>
    <s v="Unnamed ProjectAll Resources.IdleCostIdle CostSystem"/>
    <n v="1"/>
    <n v="733.94431110540302"/>
    <n v="0"/>
    <n v="0.95"/>
    <n v="4E+20"/>
    <n v="733.94431110540302"/>
    <n v="733.94431110540302"/>
  </r>
  <r>
    <x v="0"/>
    <s v="2023-03-29 18:55:59"/>
    <n v="1"/>
    <x v="8"/>
    <x v="2"/>
    <x v="0"/>
    <n v="5759.6373538984499"/>
    <n v="0"/>
    <s v="Unnamed ProjectAll Resources.TotalCostTotal CostSystem"/>
    <n v="1"/>
    <n v="5759.6373538984499"/>
    <n v="0"/>
    <n v="0.95"/>
    <n v="4E+20"/>
    <n v="5759.6373538984499"/>
    <n v="5759.6373538984499"/>
  </r>
  <r>
    <x v="0"/>
    <s v="2023-03-29 18:55:59"/>
    <n v="1"/>
    <x v="9"/>
    <x v="8"/>
    <x v="0"/>
    <n v="0"/>
    <n v="0"/>
    <s v="Unnamed ProjectAll Resources.UsageCostUsage CostSystem"/>
    <n v="1"/>
    <n v="0"/>
    <n v="0"/>
    <n v="0.95"/>
    <n v="4E+20"/>
    <n v="0"/>
    <n v="0"/>
  </r>
  <r>
    <x v="0"/>
    <s v="2023-03-29 18:55:59"/>
    <n v="1"/>
    <x v="10"/>
    <x v="9"/>
    <x v="1"/>
    <n v="5025.6930427930502"/>
    <n v="0"/>
    <s v="Unnamed ProjectCheck for Proper Identification Accum VA CostAccum VA CostProcess"/>
    <n v="1"/>
    <n v="5025.6930427930502"/>
    <n v="0"/>
    <n v="0.95"/>
    <n v="4E+20"/>
    <n v="5025.6930427930502"/>
    <n v="5025.6930427930502"/>
  </r>
  <r>
    <x v="0"/>
    <s v="2023-03-29 18:55:59"/>
    <n v="1"/>
    <x v="11"/>
    <x v="10"/>
    <x v="1"/>
    <n v="25128.465213965301"/>
    <n v="0"/>
    <s v="Unnamed ProjectCheck for Proper Identification Accum VA TimeAccum VA TimeProcess"/>
    <n v="1"/>
    <n v="25128.465213965301"/>
    <n v="0"/>
    <n v="0.95"/>
    <n v="4E+20"/>
    <n v="25128.465213965301"/>
    <n v="25128.465213965301"/>
  </r>
  <r>
    <x v="0"/>
    <s v="2023-03-29 18:55:59"/>
    <n v="1"/>
    <x v="12"/>
    <x v="11"/>
    <x v="1"/>
    <n v="0"/>
    <n v="0"/>
    <s v="Unnamed ProjectCheck for Proper Identification Accum Wait CostAccum Wait CostProcess"/>
    <n v="1"/>
    <n v="0"/>
    <n v="0"/>
    <n v="0.95"/>
    <n v="4E+20"/>
    <n v="0"/>
    <n v="0"/>
  </r>
  <r>
    <x v="0"/>
    <s v="2023-03-29 18:55:59"/>
    <n v="1"/>
    <x v="13"/>
    <x v="12"/>
    <x v="1"/>
    <n v="91831.963415101607"/>
    <n v="0"/>
    <s v="Unnamed ProjectCheck for Proper Identification Accum Wait TimeAccum Wait TimeProcess"/>
    <n v="1"/>
    <n v="91831.963415101607"/>
    <n v="0"/>
    <n v="0.95"/>
    <n v="4E+20"/>
    <n v="91831.963415101607"/>
    <n v="91831.963415101607"/>
  </r>
  <r>
    <x v="0"/>
    <s v="2023-03-29 18:55:59"/>
    <n v="1"/>
    <x v="14"/>
    <x v="13"/>
    <x v="1"/>
    <n v="14313"/>
    <n v="0"/>
    <s v="Unnamed ProjectCheck for Proper Identification Number InNumber InProcess"/>
    <n v="1"/>
    <n v="14313"/>
    <n v="0"/>
    <n v="0.95"/>
    <n v="4E+20"/>
    <n v="14313"/>
    <n v="14313"/>
  </r>
  <r>
    <x v="0"/>
    <s v="2023-03-29 18:55:59"/>
    <n v="1"/>
    <x v="15"/>
    <x v="14"/>
    <x v="1"/>
    <n v="14311"/>
    <n v="0"/>
    <s v="Unnamed ProjectCheck for Proper Identification Number OutNumber OutProcess"/>
    <n v="1"/>
    <n v="14311"/>
    <n v="0"/>
    <n v="0.95"/>
    <n v="4E+20"/>
    <n v="14311"/>
    <n v="14311"/>
  </r>
  <r>
    <x v="0"/>
    <s v="2023-03-29 18:55:59"/>
    <n v="1"/>
    <x v="16"/>
    <x v="15"/>
    <x v="1"/>
    <n v="5025.6930427930502"/>
    <n v="0"/>
    <s v="Unnamed ProjectCheck for Proper Identification Total Accum CostTotal Accum CostProcess"/>
    <n v="1"/>
    <n v="5025.6930427930502"/>
    <n v="0"/>
    <n v="0.95"/>
    <n v="4E+20"/>
    <n v="5025.6930427930502"/>
    <n v="5025.6930427930502"/>
  </r>
  <r>
    <x v="0"/>
    <s v="2023-03-29 18:55:59"/>
    <n v="1"/>
    <x v="17"/>
    <x v="16"/>
    <x v="1"/>
    <n v="116960.428629067"/>
    <n v="0"/>
    <s v="Unnamed ProjectCheck for Proper Identification Total Accum TimeTotal Accum TimeProcess"/>
    <n v="1"/>
    <n v="116960.428629067"/>
    <n v="0"/>
    <n v="0.95"/>
    <n v="4E+20"/>
    <n v="116960.428629067"/>
    <n v="116960.428629067"/>
  </r>
  <r>
    <x v="0"/>
    <s v="2023-03-29 18:55:59"/>
    <n v="1"/>
    <x v="18"/>
    <x v="13"/>
    <x v="2"/>
    <n v="14313"/>
    <n v="0"/>
    <s v="Unnamed ProjectPassengers.NumberInNumber InEntity"/>
    <n v="1"/>
    <n v="14313"/>
    <n v="0"/>
    <n v="0.95"/>
    <n v="4E+20"/>
    <n v="14313"/>
    <n v="14313"/>
  </r>
  <r>
    <x v="0"/>
    <s v="2023-03-29 18:55:59"/>
    <n v="1"/>
    <x v="19"/>
    <x v="14"/>
    <x v="2"/>
    <n v="14311"/>
    <n v="0"/>
    <s v="Unnamed ProjectPassengers.NumberOutNumber OutEntity"/>
    <n v="1"/>
    <n v="14311"/>
    <n v="0"/>
    <n v="0.95"/>
    <n v="4E+20"/>
    <n v="14311"/>
    <n v="14311"/>
  </r>
  <r>
    <x v="0"/>
    <s v="2023-03-29 18:55:59"/>
    <n v="1"/>
    <x v="20"/>
    <x v="14"/>
    <x v="0"/>
    <n v="14311"/>
    <n v="0"/>
    <s v="Unnamed ProjectSystem.NumberOutNumber OutSystem"/>
    <n v="1"/>
    <n v="14311"/>
    <n v="0"/>
    <n v="0.95"/>
    <n v="4E+20"/>
    <n v="14311"/>
    <n v="14311"/>
  </r>
  <r>
    <x v="0"/>
    <s v="2023-03-29 18:55:59"/>
    <n v="1"/>
    <x v="21"/>
    <x v="2"/>
    <x v="0"/>
    <n v="5759.6373538984499"/>
    <n v="0"/>
    <s v="Unnamed ProjectSystem.TotalCostTotal CostSystem"/>
    <n v="1"/>
    <n v="5759.6373538984499"/>
    <n v="0"/>
    <n v="0.95"/>
    <n v="4E+20"/>
    <n v="5759.6373538984499"/>
    <n v="5759.6373538984499"/>
  </r>
  <r>
    <x v="0"/>
    <s v="2023-03-29 18:55:59"/>
    <n v="1"/>
    <x v="22"/>
    <x v="6"/>
    <x v="3"/>
    <n v="5025.6930427930502"/>
    <n v="0"/>
    <s v="Unnamed ProjectTransport Security Office.BusyCostBusy CostResource"/>
    <n v="1"/>
    <n v="5025.6930427930502"/>
    <n v="0"/>
    <n v="0.95"/>
    <n v="4E+20"/>
    <n v="5025.6930427930502"/>
    <n v="5025.6930427930502"/>
  </r>
  <r>
    <x v="0"/>
    <s v="2023-03-29 18:55:59"/>
    <n v="1"/>
    <x v="23"/>
    <x v="7"/>
    <x v="3"/>
    <n v="733.94431110540302"/>
    <n v="0"/>
    <s v="Unnamed ProjectTransport Security Office.IdleCostIdle CostResource"/>
    <n v="1"/>
    <n v="733.94431110540302"/>
    <n v="0"/>
    <n v="0.95"/>
    <n v="4E+20"/>
    <n v="733.94431110540302"/>
    <n v="733.94431110540302"/>
  </r>
  <r>
    <x v="0"/>
    <s v="2023-03-29 18:55:59"/>
    <n v="1"/>
    <x v="24"/>
    <x v="17"/>
    <x v="3"/>
    <n v="14312"/>
    <n v="0"/>
    <s v="Unnamed ProjectTransport Security Office.NumberSeizedTotal Number SeizedResource"/>
    <n v="1"/>
    <n v="14312"/>
    <n v="0"/>
    <n v="0.95"/>
    <n v="4E+20"/>
    <n v="14312"/>
    <n v="14312"/>
  </r>
  <r>
    <x v="0"/>
    <s v="2023-03-29 18:55:59"/>
    <n v="1"/>
    <x v="25"/>
    <x v="18"/>
    <x v="3"/>
    <n v="0.87257911265531496"/>
    <n v="0"/>
    <s v="Unnamed ProjectTransport Security Office.ScheduledUtilizationScheduled UtilizationResource"/>
    <n v="1"/>
    <n v="0.87257911265531496"/>
    <n v="0"/>
    <n v="0.95"/>
    <n v="4E+20"/>
    <n v="0.87257911265531496"/>
    <n v="0.87257911265531496"/>
  </r>
  <r>
    <x v="0"/>
    <s v="2023-03-29 18:55:59"/>
    <n v="1"/>
    <x v="26"/>
    <x v="8"/>
    <x v="3"/>
    <n v="0"/>
    <n v="0"/>
    <s v="Unnamed ProjectTransport Security Office.UsageCostUsage CostResource"/>
    <n v="1"/>
    <n v="0"/>
    <n v="0"/>
    <n v="0.95"/>
    <n v="4E+2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03-29 18:55:59"/>
    <n v="1"/>
    <x v="0"/>
    <x v="0"/>
    <x v="0"/>
    <n v="3.1887385652364402"/>
    <n v="0.53390651356769503"/>
    <n v="0"/>
    <n v="31"/>
    <n v="1"/>
    <n v="0"/>
    <s v="Unnamed ProjectCheck for Proper Identification.QueueNumber WaitingQueue"/>
    <n v="1"/>
    <n v="3.1887385652364402"/>
    <n v="0"/>
    <n v="0.95"/>
    <n v="4E+20"/>
    <n v="3.1887385652364402"/>
    <n v="3.1887385652364402"/>
    <n v="0.53390651356769503"/>
  </r>
  <r>
    <x v="0"/>
    <s v="2023-03-29 18:55:59"/>
    <n v="1"/>
    <x v="1"/>
    <x v="1"/>
    <x v="1"/>
    <n v="4.0613176778917701"/>
    <n v="0.54149592043897099"/>
    <n v="0"/>
    <n v="32"/>
    <n v="2"/>
    <n v="0"/>
    <s v="Unnamed ProjectPassengersWIPEntity"/>
    <n v="1"/>
    <n v="4.0613176778917701"/>
    <n v="0"/>
    <n v="0.95"/>
    <n v="4E+20"/>
    <n v="4.0613176778917701"/>
    <n v="4.0613176778917701"/>
    <n v="0.54149592043897099"/>
  </r>
  <r>
    <x v="0"/>
    <s v="2023-03-29 18:55:59"/>
    <n v="1"/>
    <x v="2"/>
    <x v="2"/>
    <x v="2"/>
    <n v="0.87257911265531496"/>
    <n v="1.3198890833247E-2"/>
    <n v="0"/>
    <n v="1"/>
    <n v="1"/>
    <n v="0"/>
    <s v="Unnamed ProjectTransport Security OfficeInstantaneous UtilizationResource"/>
    <n v="1"/>
    <n v="0.87257911265531496"/>
    <n v="0"/>
    <n v="0.95"/>
    <n v="4E+20"/>
    <n v="0.87257911265531496"/>
    <n v="0.87257911265531496"/>
    <n v="1.3198890833247E-2"/>
  </r>
  <r>
    <x v="0"/>
    <s v="2023-03-29 18:55:59"/>
    <n v="1"/>
    <x v="2"/>
    <x v="3"/>
    <x v="2"/>
    <n v="0.87257911265531496"/>
    <n v="1.3198890833247E-2"/>
    <n v="0"/>
    <n v="1"/>
    <n v="1"/>
    <n v="0"/>
    <s v="Unnamed ProjectTransport Security OfficeNumber BusyResource"/>
    <n v="1"/>
    <n v="0.87257911265531496"/>
    <n v="0"/>
    <n v="0.95"/>
    <n v="4E+20"/>
    <n v="0.87257911265531496"/>
    <n v="0.87257911265531496"/>
    <n v="1.3198890833247E-2"/>
  </r>
  <r>
    <x v="0"/>
    <s v="2023-03-29 18:55:59"/>
    <n v="1"/>
    <x v="2"/>
    <x v="4"/>
    <x v="2"/>
    <n v="1"/>
    <n v="2E+20"/>
    <n v="1"/>
    <n v="1"/>
    <n v="1"/>
    <n v="0"/>
    <s v="Unnamed ProjectTransport Security OfficeNumber ScheduledResource"/>
    <n v="1"/>
    <n v="1"/>
    <n v="0"/>
    <n v="0.95"/>
    <n v="4E+20"/>
    <n v="1"/>
    <n v="1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70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2:M2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22">
        <item m="1" x="21"/>
        <item x="9"/>
        <item x="11"/>
        <item x="13"/>
        <item x="15"/>
        <item x="17"/>
        <item x="19"/>
        <item x="7"/>
        <item sd="0" x="1"/>
        <item x="3"/>
        <item x="5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2"/>
        <item x="1"/>
        <item m="1" x="4"/>
        <item x="0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0">
    <i>
      <x v="3"/>
      <x v="99"/>
      <x v="8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0"/>
      <x v="7"/>
      <x v="1"/>
    </i>
    <i r="2">
      <x v="15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6"/>
      <x/>
    </i>
    <i r="2">
      <x v="17"/>
      <x/>
    </i>
    <i r="2">
      <x v="18"/>
      <x/>
    </i>
    <i r="2">
      <x v="19"/>
      <x/>
    </i>
    <i r="2">
      <x v="20"/>
      <x/>
    </i>
    <i r="2">
      <x v="21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76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K2:AS2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52"/>
        <item m="1" x="28"/>
        <item m="1" x="53"/>
        <item m="1" x="29"/>
        <item m="1" x="54"/>
        <item m="1" x="30"/>
        <item m="1" x="55"/>
        <item m="1" x="31"/>
        <item m="1" x="87"/>
        <item m="1" x="42"/>
        <item x="20"/>
        <item m="1" x="86"/>
        <item m="1" x="73"/>
        <item m="1" x="90"/>
        <item m="1" x="75"/>
        <item m="1" x="91"/>
        <item m="1" x="98"/>
        <item m="1" x="67"/>
        <item m="1" x="35"/>
        <item m="1" x="84"/>
        <item m="1" x="74"/>
        <item m="1" x="72"/>
        <item m="1" x="38"/>
        <item m="1" x="82"/>
        <item m="1" x="47"/>
        <item m="1" x="83"/>
        <item m="1" x="48"/>
        <item m="1" x="81"/>
        <item m="1" x="101"/>
        <item m="1" x="41"/>
        <item m="1" x="104"/>
        <item m="1" x="69"/>
        <item m="1" x="36"/>
        <item m="1" x="99"/>
        <item m="1" x="94"/>
        <item m="1" x="70"/>
        <item m="1" x="37"/>
        <item m="1" x="100"/>
        <item m="1" x="95"/>
        <item m="1" x="32"/>
        <item m="1" x="66"/>
        <item m="1" x="50"/>
        <item m="1" x="40"/>
        <item m="1" x="92"/>
        <item m="1" x="62"/>
        <item m="1" x="93"/>
        <item m="1" x="63"/>
        <item m="1" x="49"/>
        <item m="1" x="44"/>
        <item m="1" x="71"/>
        <item m="1" x="46"/>
        <item m="1" x="103"/>
        <item m="1" x="96"/>
        <item m="1" x="45"/>
        <item m="1" x="43"/>
        <item m="1" x="88"/>
        <item m="1" x="97"/>
        <item m="1" x="33"/>
        <item m="1" x="51"/>
        <item m="1" x="64"/>
        <item m="1" x="85"/>
        <item m="1" x="102"/>
        <item m="1" x="34"/>
        <item m="1" x="61"/>
        <item m="1" x="65"/>
        <item m="1" x="89"/>
        <item m="1" x="68"/>
        <item m="1" x="39"/>
        <item m="1" x="56"/>
        <item m="1" x="76"/>
        <item m="1" x="57"/>
        <item m="1" x="77"/>
        <item m="1" x="58"/>
        <item m="1" x="78"/>
        <item m="1" x="59"/>
        <item m="1" x="79"/>
        <item m="1" x="60"/>
        <item m="1" x="80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</items>
    </pivotField>
    <pivotField axis="axisRow" compact="0" outline="0" showAll="0" defaultSubtotal="0">
      <items count="20">
        <item x="13"/>
        <item x="14"/>
        <item x="18"/>
        <item x="17"/>
        <item x="10"/>
        <item x="12"/>
        <item m="1" x="19"/>
        <item x="0"/>
        <item x="1"/>
        <item x="2"/>
        <item x="3"/>
        <item x="4"/>
        <item x="5"/>
        <item x="6"/>
        <item x="7"/>
        <item x="8"/>
        <item x="9"/>
        <item x="11"/>
        <item x="15"/>
        <item x="16"/>
      </items>
    </pivotField>
    <pivotField axis="axisRow" compact="0" outline="0" showAll="0" defaultSubtotal="0">
      <items count="5">
        <item x="2"/>
        <item x="3"/>
        <item x="0"/>
        <item x="1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7">
    <i>
      <x v="3"/>
      <x v="10"/>
      <x v="1"/>
      <x v="2"/>
    </i>
    <i r="1">
      <x v="79"/>
      <x v="7"/>
      <x v="2"/>
    </i>
    <i r="1">
      <x v="80"/>
      <x v="8"/>
      <x v="2"/>
    </i>
    <i r="1">
      <x v="81"/>
      <x v="9"/>
      <x v="2"/>
    </i>
    <i r="1">
      <x v="82"/>
      <x v="10"/>
      <x v="2"/>
    </i>
    <i r="1">
      <x v="83"/>
      <x v="11"/>
      <x v="2"/>
    </i>
    <i r="1">
      <x v="84"/>
      <x v="12"/>
      <x v="2"/>
    </i>
    <i r="1">
      <x v="85"/>
      <x v="13"/>
      <x v="2"/>
    </i>
    <i r="1">
      <x v="86"/>
      <x v="14"/>
      <x v="2"/>
    </i>
    <i r="1">
      <x v="87"/>
      <x v="9"/>
      <x v="2"/>
    </i>
    <i r="1">
      <x v="88"/>
      <x v="15"/>
      <x v="2"/>
    </i>
    <i r="1">
      <x v="89"/>
      <x v="16"/>
      <x v="3"/>
    </i>
    <i r="1">
      <x v="90"/>
      <x v="4"/>
      <x v="3"/>
    </i>
    <i r="1">
      <x v="91"/>
      <x v="17"/>
      <x v="3"/>
    </i>
    <i r="1">
      <x v="92"/>
      <x v="5"/>
      <x v="3"/>
    </i>
    <i r="1">
      <x v="93"/>
      <x/>
      <x v="3"/>
    </i>
    <i r="1">
      <x v="94"/>
      <x v="1"/>
      <x v="3"/>
    </i>
    <i r="1">
      <x v="95"/>
      <x v="18"/>
      <x v="3"/>
    </i>
    <i r="1">
      <x v="96"/>
      <x v="19"/>
      <x v="3"/>
    </i>
    <i r="1">
      <x v="97"/>
      <x/>
      <x/>
    </i>
    <i r="1">
      <x v="98"/>
      <x v="1"/>
      <x/>
    </i>
    <i r="1">
      <x v="99"/>
      <x v="9"/>
      <x v="2"/>
    </i>
    <i r="1">
      <x v="100"/>
      <x v="13"/>
      <x v="1"/>
    </i>
    <i r="1">
      <x v="101"/>
      <x v="14"/>
      <x v="1"/>
    </i>
    <i r="1">
      <x v="102"/>
      <x v="3"/>
      <x v="1"/>
    </i>
    <i r="1">
      <x v="103"/>
      <x v="2"/>
      <x v="1"/>
    </i>
    <i r="1">
      <x v="104"/>
      <x v="15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82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8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3"/>
      <x v="1"/>
    </i>
    <i r="1">
      <x v="125"/>
      <x v="4"/>
      <x/>
    </i>
    <i r="1">
      <x v="126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94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" tableType="queryTable" totalsRowShown="0">
  <autoFilter ref="A1:Y21" xr:uid="{C3D003CA-1AFF-426C-A03D-D3AF5760DF1A}"/>
  <sortState xmlns:xlrd2="http://schemas.microsoft.com/office/spreadsheetml/2017/richdata2" ref="A2:Y21">
    <sortCondition ref="D1:D2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0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9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8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7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6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5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4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3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2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1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0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67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6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5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64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3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1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0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39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8" tableType="queryTable" totalsRowShown="0">
  <autoFilter ref="A1:P2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6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6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1</v>
      </c>
      <c r="F2">
        <v>28800</v>
      </c>
      <c r="G2">
        <f>0.95</f>
        <v>0.95</v>
      </c>
    </row>
  </sheetData>
  <phoneticPr fontId="2" type="noConversion"/>
  <conditionalFormatting sqref="D2">
    <cfRule type="expression" dxfId="38" priority="1">
      <formula>D2=3</formula>
    </cfRule>
    <cfRule type="expression" dxfId="37" priority="2">
      <formula>D2=2</formula>
    </cfRule>
    <cfRule type="expression" dxfId="36" priority="3">
      <formula>D2=1</formula>
    </cfRule>
    <cfRule type="expression" dxfId="35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9"/>
  <sheetViews>
    <sheetView topLeftCell="L1" zoomScaleNormal="100" workbookViewId="0">
      <selection activeCell="S5" sqref="S5"/>
    </sheetView>
  </sheetViews>
  <sheetFormatPr defaultRowHeight="15" x14ac:dyDescent="0.25"/>
  <cols>
    <col min="1" max="1" width="33.28515625" customWidth="1"/>
    <col min="2" max="2" width="28.7109375" bestFit="1" customWidth="1"/>
    <col min="3" max="3" width="21.85546875" bestFit="1" customWidth="1"/>
    <col min="4" max="4" width="9.42578125" bestFit="1" customWidth="1"/>
    <col min="5" max="5" width="30.5703125" bestFit="1" customWidth="1"/>
    <col min="6" max="6" width="20.85546875" bestFit="1" customWidth="1"/>
    <col min="7" max="7" width="12.28515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27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2" t="s">
        <v>10</v>
      </c>
      <c r="O1" s="1" t="s">
        <v>12</v>
      </c>
      <c r="AA1" s="1" t="s">
        <v>18</v>
      </c>
      <c r="AK1" s="2" t="s">
        <v>13</v>
      </c>
      <c r="AU1" s="1" t="s">
        <v>11</v>
      </c>
    </row>
    <row r="2" spans="1:52" x14ac:dyDescent="0.25">
      <c r="A2" s="4" t="s">
        <v>41</v>
      </c>
      <c r="B2" s="4" t="s">
        <v>21</v>
      </c>
      <c r="C2" s="4" t="s">
        <v>23</v>
      </c>
      <c r="D2" s="4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4" t="s">
        <v>41</v>
      </c>
      <c r="P2" s="4" t="s">
        <v>21</v>
      </c>
      <c r="Q2" s="4" t="s">
        <v>23</v>
      </c>
      <c r="R2" s="4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4" t="s">
        <v>41</v>
      </c>
      <c r="AB2" s="4" t="s">
        <v>21</v>
      </c>
      <c r="AC2" s="4" t="s">
        <v>23</v>
      </c>
      <c r="AD2" s="4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4" t="s">
        <v>41</v>
      </c>
      <c r="AL2" s="4" t="s">
        <v>21</v>
      </c>
      <c r="AM2" s="4" t="s">
        <v>23</v>
      </c>
      <c r="AN2" s="4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4" t="s">
        <v>41</v>
      </c>
      <c r="AV2" s="4" t="s">
        <v>21</v>
      </c>
      <c r="AW2" s="4" t="s">
        <v>57</v>
      </c>
      <c r="AX2" s="4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73</v>
      </c>
      <c r="E3" s="3">
        <v>8.1727642113805103</v>
      </c>
      <c r="F3" s="3">
        <v>1</v>
      </c>
      <c r="G3" s="3">
        <v>1.2641885683321601</v>
      </c>
      <c r="H3" s="3">
        <v>0</v>
      </c>
      <c r="I3" s="3">
        <v>8.1727642113805103</v>
      </c>
      <c r="J3" s="3">
        <v>8.1727642113805103</v>
      </c>
      <c r="K3" s="3">
        <v>0.76600416894871204</v>
      </c>
      <c r="L3" s="3">
        <v>50.569694126636001</v>
      </c>
      <c r="M3" s="3">
        <v>14311</v>
      </c>
      <c r="O3" t="s">
        <v>67</v>
      </c>
      <c r="P3" t="s">
        <v>78</v>
      </c>
      <c r="Q3" t="s">
        <v>96</v>
      </c>
      <c r="R3" t="s">
        <v>80</v>
      </c>
      <c r="S3" s="3">
        <v>3.1887385652364402</v>
      </c>
      <c r="T3" s="3">
        <v>0.53390651356769503</v>
      </c>
      <c r="U3" s="3">
        <v>0</v>
      </c>
      <c r="V3" s="3">
        <v>3.1887385652364402</v>
      </c>
      <c r="W3" s="3">
        <v>3.1887385652364402</v>
      </c>
      <c r="X3" s="3">
        <v>0</v>
      </c>
      <c r="Y3" s="3">
        <v>31</v>
      </c>
      <c r="AA3" t="s">
        <v>65</v>
      </c>
      <c r="AB3" t="s">
        <v>65</v>
      </c>
      <c r="AC3" t="s">
        <v>65</v>
      </c>
      <c r="AD3" t="s">
        <v>65</v>
      </c>
      <c r="AE3" s="3"/>
      <c r="AF3" s="3"/>
      <c r="AG3" s="3"/>
      <c r="AH3" s="3"/>
      <c r="AI3" s="3"/>
      <c r="AK3" t="s">
        <v>67</v>
      </c>
      <c r="AL3" t="s">
        <v>136</v>
      </c>
      <c r="AM3" t="s">
        <v>129</v>
      </c>
      <c r="AN3" t="s">
        <v>104</v>
      </c>
      <c r="AO3" s="3">
        <v>14311</v>
      </c>
      <c r="AP3" s="3">
        <v>4E+20</v>
      </c>
      <c r="AQ3" s="3">
        <v>0</v>
      </c>
      <c r="AR3" s="3">
        <v>14311</v>
      </c>
      <c r="AS3" s="3">
        <v>14311</v>
      </c>
      <c r="AU3" t="s">
        <v>65</v>
      </c>
      <c r="AV3" t="s">
        <v>65</v>
      </c>
      <c r="AW3" t="s">
        <v>65</v>
      </c>
      <c r="AX3" t="s">
        <v>65</v>
      </c>
      <c r="AY3" s="6"/>
      <c r="AZ3" s="6"/>
    </row>
    <row r="4" spans="1:52" x14ac:dyDescent="0.25">
      <c r="C4" t="s">
        <v>75</v>
      </c>
      <c r="D4" t="s">
        <v>72</v>
      </c>
      <c r="E4" s="3">
        <v>1.75588464914857</v>
      </c>
      <c r="F4" s="3">
        <v>1</v>
      </c>
      <c r="G4" s="3">
        <v>8.2631150716427904E-3</v>
      </c>
      <c r="H4" s="3">
        <v>0</v>
      </c>
      <c r="I4" s="3">
        <v>1.75588464914857</v>
      </c>
      <c r="J4" s="3">
        <v>1.75588464914857</v>
      </c>
      <c r="K4" s="3">
        <v>0.75336596409761103</v>
      </c>
      <c r="L4" s="3">
        <v>2.9858883624983701</v>
      </c>
      <c r="M4" s="3">
        <v>14311</v>
      </c>
      <c r="P4" t="s">
        <v>82</v>
      </c>
      <c r="Q4" t="s">
        <v>97</v>
      </c>
      <c r="R4" t="s">
        <v>84</v>
      </c>
      <c r="S4" s="3">
        <v>4.0613176778917701</v>
      </c>
      <c r="T4" s="3">
        <v>0.54149592043897099</v>
      </c>
      <c r="U4" s="3">
        <v>0</v>
      </c>
      <c r="V4" s="3">
        <v>4.0613176778917701</v>
      </c>
      <c r="W4" s="3">
        <v>4.0613176778917701</v>
      </c>
      <c r="X4" s="3">
        <v>0</v>
      </c>
      <c r="Y4" s="3">
        <v>32</v>
      </c>
      <c r="AL4" t="s">
        <v>103</v>
      </c>
      <c r="AM4" t="s">
        <v>83</v>
      </c>
      <c r="AN4" t="s">
        <v>104</v>
      </c>
      <c r="AO4" s="3">
        <v>0</v>
      </c>
      <c r="AP4" s="3">
        <v>4E+20</v>
      </c>
      <c r="AQ4" s="3">
        <v>0</v>
      </c>
      <c r="AR4" s="3">
        <v>0</v>
      </c>
      <c r="AS4" s="3">
        <v>0</v>
      </c>
    </row>
    <row r="5" spans="1:52" x14ac:dyDescent="0.25">
      <c r="C5" t="s">
        <v>77</v>
      </c>
      <c r="D5" t="s">
        <v>72</v>
      </c>
      <c r="E5" s="3">
        <v>6.4168795622319301</v>
      </c>
      <c r="F5" s="3">
        <v>1</v>
      </c>
      <c r="G5" s="3">
        <v>1.2632929695408901</v>
      </c>
      <c r="H5" s="3">
        <v>0</v>
      </c>
      <c r="I5" s="3">
        <v>6.4168795622319301</v>
      </c>
      <c r="J5" s="3">
        <v>6.4168795622319301</v>
      </c>
      <c r="K5" s="3">
        <v>0</v>
      </c>
      <c r="L5" s="3">
        <v>49.010029697576101</v>
      </c>
      <c r="M5" s="3">
        <v>14311</v>
      </c>
      <c r="P5" t="s">
        <v>98</v>
      </c>
      <c r="Q5" t="s">
        <v>99</v>
      </c>
      <c r="R5" t="s">
        <v>100</v>
      </c>
      <c r="S5" s="3">
        <v>0.87257911265531496</v>
      </c>
      <c r="T5" s="3">
        <v>1.3198890833247E-2</v>
      </c>
      <c r="U5" s="3">
        <v>0</v>
      </c>
      <c r="V5" s="3">
        <v>0.87257911265531496</v>
      </c>
      <c r="W5" s="3">
        <v>0.87257911265531496</v>
      </c>
      <c r="X5" s="3">
        <v>0</v>
      </c>
      <c r="Y5" s="3">
        <v>1</v>
      </c>
      <c r="AL5" t="s">
        <v>105</v>
      </c>
      <c r="AM5" t="s">
        <v>86</v>
      </c>
      <c r="AN5" t="s">
        <v>104</v>
      </c>
      <c r="AO5" s="3">
        <v>0</v>
      </c>
      <c r="AP5" s="3">
        <v>4E+20</v>
      </c>
      <c r="AQ5" s="3">
        <v>0</v>
      </c>
      <c r="AR5" s="3">
        <v>0</v>
      </c>
      <c r="AS5" s="3">
        <v>0</v>
      </c>
    </row>
    <row r="6" spans="1:52" x14ac:dyDescent="0.25">
      <c r="C6" t="s">
        <v>71</v>
      </c>
      <c r="D6" t="s">
        <v>72</v>
      </c>
      <c r="E6" s="3">
        <v>0.35117692982971499</v>
      </c>
      <c r="F6" s="3">
        <v>1</v>
      </c>
      <c r="G6" s="3">
        <v>1.65262301432855E-3</v>
      </c>
      <c r="H6" s="3">
        <v>0</v>
      </c>
      <c r="I6" s="3">
        <v>0.35117692982971499</v>
      </c>
      <c r="J6" s="3">
        <v>0.35117692982971499</v>
      </c>
      <c r="K6" s="3">
        <v>0.15067319281952199</v>
      </c>
      <c r="L6" s="3">
        <v>0.59717767249967402</v>
      </c>
      <c r="M6" s="3">
        <v>14311</v>
      </c>
      <c r="Q6" t="s">
        <v>101</v>
      </c>
      <c r="R6" t="s">
        <v>100</v>
      </c>
      <c r="S6" s="3">
        <v>0.87257911265531496</v>
      </c>
      <c r="T6" s="3">
        <v>1.3198890833247E-2</v>
      </c>
      <c r="U6" s="3">
        <v>0</v>
      </c>
      <c r="V6" s="3">
        <v>0.87257911265531496</v>
      </c>
      <c r="W6" s="3">
        <v>0.87257911265531496</v>
      </c>
      <c r="X6" s="3">
        <v>0</v>
      </c>
      <c r="Y6" s="3">
        <v>1</v>
      </c>
      <c r="AL6" t="s">
        <v>106</v>
      </c>
      <c r="AM6" t="s">
        <v>88</v>
      </c>
      <c r="AN6" t="s">
        <v>104</v>
      </c>
      <c r="AO6" s="3">
        <v>5025.6930427930502</v>
      </c>
      <c r="AP6" s="3">
        <v>4E+20</v>
      </c>
      <c r="AQ6" s="3">
        <v>0</v>
      </c>
      <c r="AR6" s="3">
        <v>5025.6930427930502</v>
      </c>
      <c r="AS6" s="3">
        <v>5025.6930427930502</v>
      </c>
    </row>
    <row r="7" spans="1:52" x14ac:dyDescent="0.25">
      <c r="C7" t="s">
        <v>74</v>
      </c>
      <c r="D7" t="s">
        <v>72</v>
      </c>
      <c r="E7" s="3">
        <v>0.35117692982971499</v>
      </c>
      <c r="F7" s="3">
        <v>1</v>
      </c>
      <c r="G7" s="3">
        <v>1.65262301432855E-3</v>
      </c>
      <c r="H7" s="3">
        <v>0</v>
      </c>
      <c r="I7" s="3">
        <v>0.35117692982971499</v>
      </c>
      <c r="J7" s="3">
        <v>0.35117692982971499</v>
      </c>
      <c r="K7" s="3">
        <v>0.15067319281952199</v>
      </c>
      <c r="L7" s="3">
        <v>0.59717767249967402</v>
      </c>
      <c r="M7" s="3">
        <v>14311</v>
      </c>
      <c r="Q7" t="s">
        <v>102</v>
      </c>
      <c r="R7" t="s">
        <v>100</v>
      </c>
      <c r="S7" s="3">
        <v>1</v>
      </c>
      <c r="T7" s="3">
        <v>2E+20</v>
      </c>
      <c r="U7" s="3">
        <v>0</v>
      </c>
      <c r="V7" s="3">
        <v>1</v>
      </c>
      <c r="W7" s="3">
        <v>1</v>
      </c>
      <c r="X7" s="3">
        <v>1</v>
      </c>
      <c r="Y7" s="3">
        <v>1</v>
      </c>
      <c r="AL7" t="s">
        <v>107</v>
      </c>
      <c r="AM7" t="s">
        <v>108</v>
      </c>
      <c r="AN7" t="s">
        <v>104</v>
      </c>
      <c r="AO7" s="3">
        <v>0</v>
      </c>
      <c r="AP7" s="3">
        <v>4E+20</v>
      </c>
      <c r="AQ7" s="3">
        <v>0</v>
      </c>
      <c r="AR7" s="3">
        <v>0</v>
      </c>
      <c r="AS7" s="3">
        <v>0</v>
      </c>
    </row>
    <row r="8" spans="1:52" x14ac:dyDescent="0.25">
      <c r="C8" t="s">
        <v>76</v>
      </c>
      <c r="D8" t="s">
        <v>72</v>
      </c>
      <c r="E8" s="3">
        <v>0</v>
      </c>
      <c r="F8" s="3">
        <v>1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14311</v>
      </c>
      <c r="AL8" t="s">
        <v>109</v>
      </c>
      <c r="AM8" t="s">
        <v>92</v>
      </c>
      <c r="AN8" t="s">
        <v>104</v>
      </c>
      <c r="AO8" s="3">
        <v>5025.6930427930502</v>
      </c>
      <c r="AP8" s="3">
        <v>4E+20</v>
      </c>
      <c r="AQ8" s="3">
        <v>0</v>
      </c>
      <c r="AR8" s="3">
        <v>5025.6930427930502</v>
      </c>
      <c r="AS8" s="3">
        <v>5025.6930427930502</v>
      </c>
    </row>
    <row r="9" spans="1:52" x14ac:dyDescent="0.25">
      <c r="B9" t="s">
        <v>78</v>
      </c>
      <c r="C9" t="s">
        <v>81</v>
      </c>
      <c r="D9" t="s">
        <v>80</v>
      </c>
      <c r="E9" s="3">
        <v>6.4165273746336204</v>
      </c>
      <c r="F9" s="3">
        <v>1</v>
      </c>
      <c r="G9" s="3">
        <v>1.2632929695408901</v>
      </c>
      <c r="H9" s="3">
        <v>0</v>
      </c>
      <c r="I9" s="3">
        <v>6.4165273746336204</v>
      </c>
      <c r="J9" s="3">
        <v>6.4165273746336204</v>
      </c>
      <c r="K9" s="3">
        <v>0</v>
      </c>
      <c r="L9" s="3">
        <v>49.010029697576101</v>
      </c>
      <c r="M9" s="3">
        <v>14312</v>
      </c>
      <c r="AL9" t="s">
        <v>110</v>
      </c>
      <c r="AM9" t="s">
        <v>94</v>
      </c>
      <c r="AN9" t="s">
        <v>104</v>
      </c>
      <c r="AO9" s="3">
        <v>0</v>
      </c>
      <c r="AP9" s="3">
        <v>4E+20</v>
      </c>
      <c r="AQ9" s="3">
        <v>0</v>
      </c>
      <c r="AR9" s="3">
        <v>0</v>
      </c>
      <c r="AS9" s="3">
        <v>0</v>
      </c>
    </row>
    <row r="10" spans="1:52" x14ac:dyDescent="0.25">
      <c r="C10" t="s">
        <v>79</v>
      </c>
      <c r="D10" t="s">
        <v>80</v>
      </c>
      <c r="E10" s="3">
        <v>0</v>
      </c>
      <c r="F10" s="3">
        <v>1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14312</v>
      </c>
      <c r="AL10" t="s">
        <v>111</v>
      </c>
      <c r="AM10" t="s">
        <v>112</v>
      </c>
      <c r="AN10" t="s">
        <v>104</v>
      </c>
      <c r="AO10" s="3">
        <v>5025.6930427930502</v>
      </c>
      <c r="AP10" s="3">
        <v>4E+20</v>
      </c>
      <c r="AQ10" s="3">
        <v>0</v>
      </c>
      <c r="AR10" s="3">
        <v>5025.6930427930502</v>
      </c>
      <c r="AS10" s="3">
        <v>5025.6930427930502</v>
      </c>
    </row>
    <row r="11" spans="1:52" x14ac:dyDescent="0.25">
      <c r="B11" t="s">
        <v>82</v>
      </c>
      <c r="C11" t="s">
        <v>85</v>
      </c>
      <c r="D11" t="s">
        <v>84</v>
      </c>
      <c r="E11" s="3">
        <v>0</v>
      </c>
      <c r="F11" s="3">
        <v>1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14311</v>
      </c>
      <c r="AL11" t="s">
        <v>113</v>
      </c>
      <c r="AM11" t="s">
        <v>114</v>
      </c>
      <c r="AN11" t="s">
        <v>104</v>
      </c>
      <c r="AO11" s="3">
        <v>733.94431110540302</v>
      </c>
      <c r="AP11" s="3">
        <v>4E+20</v>
      </c>
      <c r="AQ11" s="3">
        <v>0</v>
      </c>
      <c r="AR11" s="3">
        <v>733.94431110540302</v>
      </c>
      <c r="AS11" s="3">
        <v>733.94431110540302</v>
      </c>
    </row>
    <row r="12" spans="1:52" x14ac:dyDescent="0.25">
      <c r="C12" t="s">
        <v>87</v>
      </c>
      <c r="D12" t="s">
        <v>84</v>
      </c>
      <c r="E12" s="3">
        <v>0</v>
      </c>
      <c r="F12" s="3">
        <v>1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14311</v>
      </c>
      <c r="AL12" t="s">
        <v>115</v>
      </c>
      <c r="AM12" t="s">
        <v>88</v>
      </c>
      <c r="AN12" t="s">
        <v>104</v>
      </c>
      <c r="AO12" s="3">
        <v>5759.6373538984499</v>
      </c>
      <c r="AP12" s="3">
        <v>4E+20</v>
      </c>
      <c r="AQ12" s="3">
        <v>0</v>
      </c>
      <c r="AR12" s="3">
        <v>5759.6373538984499</v>
      </c>
      <c r="AS12" s="3">
        <v>5759.6373538984499</v>
      </c>
    </row>
    <row r="13" spans="1:52" x14ac:dyDescent="0.25">
      <c r="C13" t="s">
        <v>89</v>
      </c>
      <c r="D13" t="s">
        <v>84</v>
      </c>
      <c r="E13" s="3">
        <v>8.1727642113805103</v>
      </c>
      <c r="F13" s="3">
        <v>1</v>
      </c>
      <c r="G13" s="3">
        <v>1.2641885683321601</v>
      </c>
      <c r="H13" s="3">
        <v>0</v>
      </c>
      <c r="I13" s="3">
        <v>8.1727642113805103</v>
      </c>
      <c r="J13" s="3">
        <v>8.1727642113805103</v>
      </c>
      <c r="K13" s="3">
        <v>0.76600416894871204</v>
      </c>
      <c r="L13" s="3">
        <v>50.569694126636001</v>
      </c>
      <c r="M13" s="3">
        <v>14311</v>
      </c>
      <c r="AL13" t="s">
        <v>116</v>
      </c>
      <c r="AM13" t="s">
        <v>117</v>
      </c>
      <c r="AN13" t="s">
        <v>104</v>
      </c>
      <c r="AO13" s="3">
        <v>0</v>
      </c>
      <c r="AP13" s="3">
        <v>4E+20</v>
      </c>
      <c r="AQ13" s="3">
        <v>0</v>
      </c>
      <c r="AR13" s="3">
        <v>0</v>
      </c>
      <c r="AS13" s="3">
        <v>0</v>
      </c>
    </row>
    <row r="14" spans="1:52" x14ac:dyDescent="0.25">
      <c r="C14" t="s">
        <v>91</v>
      </c>
      <c r="D14" t="s">
        <v>84</v>
      </c>
      <c r="E14" s="3">
        <v>0</v>
      </c>
      <c r="F14" s="3">
        <v>1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14311</v>
      </c>
      <c r="AL14" t="s">
        <v>118</v>
      </c>
      <c r="AM14" t="s">
        <v>119</v>
      </c>
      <c r="AN14" t="s">
        <v>72</v>
      </c>
      <c r="AO14" s="3">
        <v>5025.6930427930502</v>
      </c>
      <c r="AP14" s="3">
        <v>4E+20</v>
      </c>
      <c r="AQ14" s="3">
        <v>0</v>
      </c>
      <c r="AR14" s="3">
        <v>5025.6930427930502</v>
      </c>
      <c r="AS14" s="3">
        <v>5025.6930427930502</v>
      </c>
    </row>
    <row r="15" spans="1:52" x14ac:dyDescent="0.25">
      <c r="C15" t="s">
        <v>93</v>
      </c>
      <c r="D15" t="s">
        <v>84</v>
      </c>
      <c r="E15" s="3">
        <v>1.75588464914857</v>
      </c>
      <c r="F15" s="3">
        <v>1</v>
      </c>
      <c r="G15" s="3">
        <v>8.2631150716427904E-3</v>
      </c>
      <c r="H15" s="3">
        <v>0</v>
      </c>
      <c r="I15" s="3">
        <v>1.75588464914857</v>
      </c>
      <c r="J15" s="3">
        <v>1.75588464914857</v>
      </c>
      <c r="K15" s="3">
        <v>0.75336596409761103</v>
      </c>
      <c r="L15" s="3">
        <v>2.9858883624983701</v>
      </c>
      <c r="M15" s="3">
        <v>14311</v>
      </c>
      <c r="AL15" t="s">
        <v>120</v>
      </c>
      <c r="AM15" t="s">
        <v>121</v>
      </c>
      <c r="AN15" t="s">
        <v>72</v>
      </c>
      <c r="AO15" s="3">
        <v>25128.465213965301</v>
      </c>
      <c r="AP15" s="3">
        <v>4E+20</v>
      </c>
      <c r="AQ15" s="3">
        <v>0</v>
      </c>
      <c r="AR15" s="3">
        <v>25128.465213965301</v>
      </c>
      <c r="AS15" s="3">
        <v>25128.465213965301</v>
      </c>
    </row>
    <row r="16" spans="1:52" x14ac:dyDescent="0.25">
      <c r="C16" t="s">
        <v>95</v>
      </c>
      <c r="D16" t="s">
        <v>84</v>
      </c>
      <c r="E16" s="3">
        <v>6.4168795622319301</v>
      </c>
      <c r="F16" s="3">
        <v>1</v>
      </c>
      <c r="G16" s="3">
        <v>1.2632929695408901</v>
      </c>
      <c r="H16" s="3">
        <v>0</v>
      </c>
      <c r="I16" s="3">
        <v>6.4168795622319301</v>
      </c>
      <c r="J16" s="3">
        <v>6.4168795622319301</v>
      </c>
      <c r="K16" s="3">
        <v>0</v>
      </c>
      <c r="L16" s="3">
        <v>49.010029697576101</v>
      </c>
      <c r="M16" s="3">
        <v>14311</v>
      </c>
      <c r="AL16" t="s">
        <v>122</v>
      </c>
      <c r="AM16" t="s">
        <v>123</v>
      </c>
      <c r="AN16" t="s">
        <v>72</v>
      </c>
      <c r="AO16" s="3">
        <v>0</v>
      </c>
      <c r="AP16" s="3">
        <v>4E+20</v>
      </c>
      <c r="AQ16" s="3">
        <v>0</v>
      </c>
      <c r="AR16" s="3">
        <v>0</v>
      </c>
      <c r="AS16" s="3">
        <v>0</v>
      </c>
    </row>
    <row r="17" spans="3:45" x14ac:dyDescent="0.25">
      <c r="C17" t="s">
        <v>83</v>
      </c>
      <c r="D17" t="s">
        <v>84</v>
      </c>
      <c r="E17" s="3">
        <v>0</v>
      </c>
      <c r="F17" s="3">
        <v>1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14311</v>
      </c>
      <c r="AL17" t="s">
        <v>124</v>
      </c>
      <c r="AM17" t="s">
        <v>125</v>
      </c>
      <c r="AN17" t="s">
        <v>72</v>
      </c>
      <c r="AO17" s="3">
        <v>91831.963415101607</v>
      </c>
      <c r="AP17" s="3">
        <v>4E+20</v>
      </c>
      <c r="AQ17" s="3">
        <v>0</v>
      </c>
      <c r="AR17" s="3">
        <v>91831.963415101607</v>
      </c>
      <c r="AS17" s="3">
        <v>91831.963415101607</v>
      </c>
    </row>
    <row r="18" spans="3:45" x14ac:dyDescent="0.25">
      <c r="C18" t="s">
        <v>86</v>
      </c>
      <c r="D18" t="s">
        <v>84</v>
      </c>
      <c r="E18" s="3">
        <v>0</v>
      </c>
      <c r="F18" s="3">
        <v>1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14311</v>
      </c>
      <c r="AL18" t="s">
        <v>126</v>
      </c>
      <c r="AM18" t="s">
        <v>127</v>
      </c>
      <c r="AN18" t="s">
        <v>72</v>
      </c>
      <c r="AO18" s="3">
        <v>14313</v>
      </c>
      <c r="AP18" s="3">
        <v>4E+20</v>
      </c>
      <c r="AQ18" s="3">
        <v>0</v>
      </c>
      <c r="AR18" s="3">
        <v>14313</v>
      </c>
      <c r="AS18" s="3">
        <v>14313</v>
      </c>
    </row>
    <row r="19" spans="3:45" x14ac:dyDescent="0.25">
      <c r="C19" t="s">
        <v>88</v>
      </c>
      <c r="D19" t="s">
        <v>84</v>
      </c>
      <c r="E19" s="3">
        <v>0.35117692982971499</v>
      </c>
      <c r="F19" s="3">
        <v>1</v>
      </c>
      <c r="G19" s="3">
        <v>1.65262301432855E-3</v>
      </c>
      <c r="H19" s="3">
        <v>0</v>
      </c>
      <c r="I19" s="3">
        <v>0.35117692982971499</v>
      </c>
      <c r="J19" s="3">
        <v>0.35117692982971499</v>
      </c>
      <c r="K19" s="3">
        <v>0.15067319281952199</v>
      </c>
      <c r="L19" s="3">
        <v>0.59717767249967402</v>
      </c>
      <c r="M19" s="3">
        <v>14311</v>
      </c>
      <c r="AL19" t="s">
        <v>128</v>
      </c>
      <c r="AM19" t="s">
        <v>129</v>
      </c>
      <c r="AN19" t="s">
        <v>72</v>
      </c>
      <c r="AO19" s="3">
        <v>14311</v>
      </c>
      <c r="AP19" s="3">
        <v>4E+20</v>
      </c>
      <c r="AQ19" s="3">
        <v>0</v>
      </c>
      <c r="AR19" s="3">
        <v>14311</v>
      </c>
      <c r="AS19" s="3">
        <v>14311</v>
      </c>
    </row>
    <row r="20" spans="3:45" x14ac:dyDescent="0.25">
      <c r="C20" t="s">
        <v>90</v>
      </c>
      <c r="D20" t="s">
        <v>84</v>
      </c>
      <c r="E20" s="3">
        <v>0</v>
      </c>
      <c r="F20" s="3">
        <v>1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14311</v>
      </c>
      <c r="AL20" t="s">
        <v>130</v>
      </c>
      <c r="AM20" t="s">
        <v>131</v>
      </c>
      <c r="AN20" t="s">
        <v>72</v>
      </c>
      <c r="AO20" s="3">
        <v>5025.6930427930502</v>
      </c>
      <c r="AP20" s="3">
        <v>4E+20</v>
      </c>
      <c r="AQ20" s="3">
        <v>0</v>
      </c>
      <c r="AR20" s="3">
        <v>5025.6930427930502</v>
      </c>
      <c r="AS20" s="3">
        <v>5025.6930427930502</v>
      </c>
    </row>
    <row r="21" spans="3:45" x14ac:dyDescent="0.25">
      <c r="C21" t="s">
        <v>92</v>
      </c>
      <c r="D21" t="s">
        <v>84</v>
      </c>
      <c r="E21" s="3">
        <v>0.35117692982971499</v>
      </c>
      <c r="F21" s="3">
        <v>1</v>
      </c>
      <c r="G21" s="3">
        <v>1.65262301432855E-3</v>
      </c>
      <c r="H21" s="3">
        <v>0</v>
      </c>
      <c r="I21" s="3">
        <v>0.35117692982971499</v>
      </c>
      <c r="J21" s="3">
        <v>0.35117692982971499</v>
      </c>
      <c r="K21" s="3">
        <v>0.15067319281952199</v>
      </c>
      <c r="L21" s="3">
        <v>0.59717767249967402</v>
      </c>
      <c r="M21" s="3">
        <v>14311</v>
      </c>
      <c r="AL21" t="s">
        <v>132</v>
      </c>
      <c r="AM21" t="s">
        <v>133</v>
      </c>
      <c r="AN21" t="s">
        <v>72</v>
      </c>
      <c r="AO21" s="3">
        <v>116960.428629067</v>
      </c>
      <c r="AP21" s="3">
        <v>4E+20</v>
      </c>
      <c r="AQ21" s="3">
        <v>0</v>
      </c>
      <c r="AR21" s="3">
        <v>116960.428629067</v>
      </c>
      <c r="AS21" s="3">
        <v>116960.428629067</v>
      </c>
    </row>
    <row r="22" spans="3:45" x14ac:dyDescent="0.25">
      <c r="C22" t="s">
        <v>94</v>
      </c>
      <c r="D22" t="s">
        <v>84</v>
      </c>
      <c r="E22" s="3">
        <v>0</v>
      </c>
      <c r="F22" s="3">
        <v>1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14311</v>
      </c>
      <c r="AL22" t="s">
        <v>134</v>
      </c>
      <c r="AM22" t="s">
        <v>127</v>
      </c>
      <c r="AN22" t="s">
        <v>84</v>
      </c>
      <c r="AO22" s="3">
        <v>14313</v>
      </c>
      <c r="AP22" s="3">
        <v>4E+20</v>
      </c>
      <c r="AQ22" s="3">
        <v>0</v>
      </c>
      <c r="AR22" s="3">
        <v>14313</v>
      </c>
      <c r="AS22" s="3">
        <v>14313</v>
      </c>
    </row>
    <row r="23" spans="3:45" x14ac:dyDescent="0.25">
      <c r="AL23" t="s">
        <v>135</v>
      </c>
      <c r="AM23" t="s">
        <v>129</v>
      </c>
      <c r="AN23" t="s">
        <v>84</v>
      </c>
      <c r="AO23" s="3">
        <v>14311</v>
      </c>
      <c r="AP23" s="3">
        <v>4E+20</v>
      </c>
      <c r="AQ23" s="3">
        <v>0</v>
      </c>
      <c r="AR23" s="3">
        <v>14311</v>
      </c>
      <c r="AS23" s="3">
        <v>14311</v>
      </c>
    </row>
    <row r="24" spans="3:45" x14ac:dyDescent="0.25">
      <c r="AL24" t="s">
        <v>137</v>
      </c>
      <c r="AM24" t="s">
        <v>88</v>
      </c>
      <c r="AN24" t="s">
        <v>104</v>
      </c>
      <c r="AO24" s="3">
        <v>5759.6373538984499</v>
      </c>
      <c r="AP24" s="3">
        <v>4E+20</v>
      </c>
      <c r="AQ24" s="3">
        <v>0</v>
      </c>
      <c r="AR24" s="3">
        <v>5759.6373538984499</v>
      </c>
      <c r="AS24" s="3">
        <v>5759.6373538984499</v>
      </c>
    </row>
    <row r="25" spans="3:45" x14ac:dyDescent="0.25">
      <c r="AL25" t="s">
        <v>138</v>
      </c>
      <c r="AM25" t="s">
        <v>112</v>
      </c>
      <c r="AN25" t="s">
        <v>100</v>
      </c>
      <c r="AO25" s="3">
        <v>5025.6930427930502</v>
      </c>
      <c r="AP25" s="3">
        <v>4E+20</v>
      </c>
      <c r="AQ25" s="3">
        <v>0</v>
      </c>
      <c r="AR25" s="3">
        <v>5025.6930427930502</v>
      </c>
      <c r="AS25" s="3">
        <v>5025.6930427930502</v>
      </c>
    </row>
    <row r="26" spans="3:45" x14ac:dyDescent="0.25">
      <c r="AL26" t="s">
        <v>139</v>
      </c>
      <c r="AM26" t="s">
        <v>114</v>
      </c>
      <c r="AN26" t="s">
        <v>100</v>
      </c>
      <c r="AO26" s="3">
        <v>733.94431110540302</v>
      </c>
      <c r="AP26" s="3">
        <v>4E+20</v>
      </c>
      <c r="AQ26" s="3">
        <v>0</v>
      </c>
      <c r="AR26" s="3">
        <v>733.94431110540302</v>
      </c>
      <c r="AS26" s="3">
        <v>733.94431110540302</v>
      </c>
    </row>
    <row r="27" spans="3:45" x14ac:dyDescent="0.25">
      <c r="AL27" t="s">
        <v>140</v>
      </c>
      <c r="AM27" t="s">
        <v>141</v>
      </c>
      <c r="AN27" t="s">
        <v>100</v>
      </c>
      <c r="AO27" s="3">
        <v>14312</v>
      </c>
      <c r="AP27" s="3">
        <v>4E+20</v>
      </c>
      <c r="AQ27" s="3">
        <v>0</v>
      </c>
      <c r="AR27" s="3">
        <v>14312</v>
      </c>
      <c r="AS27" s="3">
        <v>14312</v>
      </c>
    </row>
    <row r="28" spans="3:45" x14ac:dyDescent="0.25">
      <c r="AL28" t="s">
        <v>142</v>
      </c>
      <c r="AM28" t="s">
        <v>143</v>
      </c>
      <c r="AN28" t="s">
        <v>100</v>
      </c>
      <c r="AO28" s="3">
        <v>0.87257911265531496</v>
      </c>
      <c r="AP28" s="3">
        <v>4E+20</v>
      </c>
      <c r="AQ28" s="3">
        <v>0</v>
      </c>
      <c r="AR28" s="3">
        <v>0.87257911265531496</v>
      </c>
      <c r="AS28" s="3">
        <v>0.87257911265531496</v>
      </c>
    </row>
    <row r="29" spans="3:45" x14ac:dyDescent="0.25">
      <c r="AL29" t="s">
        <v>144</v>
      </c>
      <c r="AM29" t="s">
        <v>117</v>
      </c>
      <c r="AN29" t="s">
        <v>100</v>
      </c>
      <c r="AO29" s="3">
        <v>0</v>
      </c>
      <c r="AP29" s="3">
        <v>4E+20</v>
      </c>
      <c r="AQ29" s="3">
        <v>0</v>
      </c>
      <c r="AR29" s="3">
        <v>0</v>
      </c>
      <c r="AS29" s="3">
        <v>0</v>
      </c>
    </row>
  </sheetData>
  <dataConsolidate/>
  <conditionalFormatting pivot="1" sqref="G3:G22">
    <cfRule type="expression" dxfId="34" priority="10">
      <formula>G3=200000000000000000000</formula>
    </cfRule>
  </conditionalFormatting>
  <conditionalFormatting pivot="1" sqref="T3:T7">
    <cfRule type="expression" dxfId="33" priority="9">
      <formula>T3=200000000000000000000</formula>
    </cfRule>
  </conditionalFormatting>
  <conditionalFormatting pivot="1" sqref="T3:T7">
    <cfRule type="expression" dxfId="32" priority="8">
      <formula>T3=300000000000000000000</formula>
    </cfRule>
  </conditionalFormatting>
  <conditionalFormatting pivot="1" sqref="G3:G22">
    <cfRule type="expression" dxfId="31" priority="7">
      <formula>G3=300000000000000000000</formula>
    </cfRule>
  </conditionalFormatting>
  <conditionalFormatting pivot="1" sqref="F3:F22">
    <cfRule type="expression" dxfId="30" priority="6">
      <formula>F3=0</formula>
    </cfRule>
  </conditionalFormatting>
  <conditionalFormatting pivot="1" sqref="F3:F22">
    <cfRule type="expression" dxfId="29" priority="5">
      <formula>F3=1</formula>
    </cfRule>
  </conditionalFormatting>
  <conditionalFormatting pivot="1" sqref="T3:T7">
    <cfRule type="expression" dxfId="28" priority="4">
      <formula>T3=400000000000000000000</formula>
    </cfRule>
  </conditionalFormatting>
  <conditionalFormatting pivot="1" sqref="AP3:AP29">
    <cfRule type="expression" dxfId="27" priority="3">
      <formula>AP3=400000000000000000000</formula>
    </cfRule>
  </conditionalFormatting>
  <conditionalFormatting pivot="1" sqref="AF3">
    <cfRule type="expression" dxfId="26" priority="2">
      <formula>AF3=400000000000000000000</formula>
    </cfRule>
  </conditionalFormatting>
  <conditionalFormatting pivot="1" sqref="G3:G22">
    <cfRule type="expression" dxfId="25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"/>
  <sheetViews>
    <sheetView tabSelected="1" workbookViewId="0">
      <selection activeCell="I15" sqref="I15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0.42578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0.35117692982971499</v>
      </c>
      <c r="H2">
        <v>1.65262301432855E-3</v>
      </c>
      <c r="I2">
        <v>0.15067319281952199</v>
      </c>
      <c r="J2">
        <v>0.59717767249967402</v>
      </c>
      <c r="K2">
        <v>14311</v>
      </c>
      <c r="L2" t="str">
        <f>DiscreteStatsTable[[#This Row],[ProjectName]]&amp;DiscreteStatsTable[[#This Row],[Name]]&amp;DiscreteStatsTable[[#This Row],[Type]]&amp;DiscreteStatsTable[[#This Row],[Source]]</f>
        <v>Unnamed ProjectCheck for Proper IdentificationTotal Cost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0.35117692982971499</v>
      </c>
      <c r="O2" s="3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s="3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 s="3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s="3" cm="1">
        <f t="array" ref="R2">MIN(IF((DiscreteStatsTable[GroupByKey]=DiscreteStatsTable[[#This Row],[GroupByKey]]),(DiscreteStatsTable[GroupByKey]=DiscreteStatsTable[[#This Row],[GroupByKey]])*DiscreteStatsTable[Average]))</f>
        <v>0.35117692982971499</v>
      </c>
      <c r="S2" s="3" cm="1">
        <f t="array" ref="S2">MAX(IF((DiscreteStatsTable[GroupByKey]=DiscreteStatsTable[[#This Row],[GroupByKey]]),(DiscreteStatsTable[GroupByKey]=DiscreteStatsTable[[#This Row],[GroupByKey]])*DiscreteStatsTable[Average]))</f>
        <v>0.35117692982971499</v>
      </c>
      <c r="T2" s="3" cm="1">
        <f t="array" ref="T2">MIN(IF((DiscreteStatsTable[GroupByKey]=DiscreteStatsTable[[#This Row],[GroupByKey]]),(DiscreteStatsTable[GroupByKey]=DiscreteStatsTable[[#This Row],[GroupByKey]])*DiscreteStatsTable[Minimum]))</f>
        <v>0.15067319281952199</v>
      </c>
      <c r="U2" s="3" cm="1">
        <f t="array" ref="U2">MAX(IF((DiscreteStatsTable[GroupByKey]=DiscreteStatsTable[[#This Row],[GroupByKey]]),(DiscreteStatsTable[GroupByKey]=DiscreteStatsTable[[#This Row],[GroupByKey]])*DiscreteStatsTable[Maximum]))</f>
        <v>0.59717767249967402</v>
      </c>
      <c r="V2" s="3" cm="1">
        <f t="array" ref="V2">IFERROR(AVERAGE(IF((DiscreteStatsTable[GroupByKey]=DiscreteStatsTable[[#This Row],[GroupByKey]]),(DiscreteStatsTable[GroupByKey]=DiscreteStatsTable[[#This Row],[GroupByKey]])*DiscreteStatsTable[NumberObservations])),0)</f>
        <v>14311</v>
      </c>
      <c r="W2" s="3">
        <f>IF((DiscreteStatsTable[[#This Row],[RepsRequested]]&gt;1),DiscreteStatsTable[[#This Row],[HalfWidth]],DiscreteStatsTable[[#This Row],[BatchMeansHalfWidth]])</f>
        <v>1.65262301432855E-3</v>
      </c>
      <c r="X2" s="3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 s="3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8.1727642113805103</v>
      </c>
      <c r="H3">
        <v>1.2641885683321601</v>
      </c>
      <c r="I3">
        <v>0.76600416894871204</v>
      </c>
      <c r="J3">
        <v>50.569694126636001</v>
      </c>
      <c r="K3">
        <v>14311</v>
      </c>
      <c r="L3" t="str">
        <f>DiscreteStatsTable[[#This Row],[ProjectName]]&amp;DiscreteStatsTable[[#This Row],[Name]]&amp;DiscreteStatsTable[[#This Row],[Type]]&amp;DiscreteStatsTable[[#This Row],[Source]]</f>
        <v>Unnamed ProjectCheck for Proper IdentificationTotal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8.1727642113805103</v>
      </c>
      <c r="O3" s="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s="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 s="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s="3" cm="1">
        <f t="array" ref="R3">MIN(IF((DiscreteStatsTable[GroupByKey]=DiscreteStatsTable[[#This Row],[GroupByKey]]),(DiscreteStatsTable[GroupByKey]=DiscreteStatsTable[[#This Row],[GroupByKey]])*DiscreteStatsTable[Average]))</f>
        <v>8.1727642113805103</v>
      </c>
      <c r="S3" s="3" cm="1">
        <f t="array" ref="S3">MAX(IF((DiscreteStatsTable[GroupByKey]=DiscreteStatsTable[[#This Row],[GroupByKey]]),(DiscreteStatsTable[GroupByKey]=DiscreteStatsTable[[#This Row],[GroupByKey]])*DiscreteStatsTable[Average]))</f>
        <v>8.1727642113805103</v>
      </c>
      <c r="T3" s="3" cm="1">
        <f t="array" ref="T3">MIN(IF((DiscreteStatsTable[GroupByKey]=DiscreteStatsTable[[#This Row],[GroupByKey]]),(DiscreteStatsTable[GroupByKey]=DiscreteStatsTable[[#This Row],[GroupByKey]])*DiscreteStatsTable[Minimum]))</f>
        <v>0.76600416894871204</v>
      </c>
      <c r="U3" s="3" cm="1">
        <f t="array" ref="U3">MAX(IF((DiscreteStatsTable[GroupByKey]=DiscreteStatsTable[[#This Row],[GroupByKey]]),(DiscreteStatsTable[GroupByKey]=DiscreteStatsTable[[#This Row],[GroupByKey]])*DiscreteStatsTable[Maximum]))</f>
        <v>50.569694126636001</v>
      </c>
      <c r="V3" s="3" cm="1">
        <f t="array" ref="V3">IFERROR(AVERAGE(IF((DiscreteStatsTable[GroupByKey]=DiscreteStatsTable[[#This Row],[GroupByKey]]),(DiscreteStatsTable[GroupByKey]=DiscreteStatsTable[[#This Row],[GroupByKey]])*DiscreteStatsTable[NumberObservations])),0)</f>
        <v>14311</v>
      </c>
      <c r="W3" s="3">
        <f>IF((DiscreteStatsTable[[#This Row],[RepsRequested]]&gt;1),DiscreteStatsTable[[#This Row],[HalfWidth]],DiscreteStatsTable[[#This Row],[BatchMeansHalfWidth]])</f>
        <v>1.2641885683321601</v>
      </c>
      <c r="X3" s="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 s="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0.35117692982971499</v>
      </c>
      <c r="H4">
        <v>1.65262301432855E-3</v>
      </c>
      <c r="I4">
        <v>0.15067319281952199</v>
      </c>
      <c r="J4">
        <v>0.59717767249967402</v>
      </c>
      <c r="K4">
        <v>14311</v>
      </c>
      <c r="L4" t="str">
        <f>DiscreteStatsTable[[#This Row],[ProjectName]]&amp;DiscreteStatsTable[[#This Row],[Name]]&amp;DiscreteStatsTable[[#This Row],[Type]]&amp;DiscreteStatsTable[[#This Row],[Source]]</f>
        <v>Unnamed ProjectCheck for Proper IdentificationVA Cost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0.35117692982971499</v>
      </c>
      <c r="O4" s="3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s="3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 s="3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s="3" cm="1">
        <f t="array" ref="R4">MIN(IF((DiscreteStatsTable[GroupByKey]=DiscreteStatsTable[[#This Row],[GroupByKey]]),(DiscreteStatsTable[GroupByKey]=DiscreteStatsTable[[#This Row],[GroupByKey]])*DiscreteStatsTable[Average]))</f>
        <v>0.35117692982971499</v>
      </c>
      <c r="S4" s="3" cm="1">
        <f t="array" ref="S4">MAX(IF((DiscreteStatsTable[GroupByKey]=DiscreteStatsTable[[#This Row],[GroupByKey]]),(DiscreteStatsTable[GroupByKey]=DiscreteStatsTable[[#This Row],[GroupByKey]])*DiscreteStatsTable[Average]))</f>
        <v>0.35117692982971499</v>
      </c>
      <c r="T4" s="3" cm="1">
        <f t="array" ref="T4">MIN(IF((DiscreteStatsTable[GroupByKey]=DiscreteStatsTable[[#This Row],[GroupByKey]]),(DiscreteStatsTable[GroupByKey]=DiscreteStatsTable[[#This Row],[GroupByKey]])*DiscreteStatsTable[Minimum]))</f>
        <v>0.15067319281952199</v>
      </c>
      <c r="U4" s="3" cm="1">
        <f t="array" ref="U4">MAX(IF((DiscreteStatsTable[GroupByKey]=DiscreteStatsTable[[#This Row],[GroupByKey]]),(DiscreteStatsTable[GroupByKey]=DiscreteStatsTable[[#This Row],[GroupByKey]])*DiscreteStatsTable[Maximum]))</f>
        <v>0.59717767249967402</v>
      </c>
      <c r="V4" s="3" cm="1">
        <f t="array" ref="V4">IFERROR(AVERAGE(IF((DiscreteStatsTable[GroupByKey]=DiscreteStatsTable[[#This Row],[GroupByKey]]),(DiscreteStatsTable[GroupByKey]=DiscreteStatsTable[[#This Row],[GroupByKey]])*DiscreteStatsTable[NumberObservations])),0)</f>
        <v>14311</v>
      </c>
      <c r="W4" s="3">
        <f>IF((DiscreteStatsTable[[#This Row],[RepsRequested]]&gt;1),DiscreteStatsTable[[#This Row],[HalfWidth]],DiscreteStatsTable[[#This Row],[BatchMeansHalfWidth]])</f>
        <v>1.65262301432855E-3</v>
      </c>
      <c r="X4" s="3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 s="3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1.75588464914857</v>
      </c>
      <c r="H5">
        <v>8.2631150716427904E-3</v>
      </c>
      <c r="I5">
        <v>0.75336596409761103</v>
      </c>
      <c r="J5">
        <v>2.9858883624983701</v>
      </c>
      <c r="K5">
        <v>14311</v>
      </c>
      <c r="L5" t="str">
        <f>DiscreteStatsTable[[#This Row],[ProjectName]]&amp;DiscreteStatsTable[[#This Row],[Name]]&amp;DiscreteStatsTable[[#This Row],[Type]]&amp;DiscreteStatsTable[[#This Row],[Source]]</f>
        <v>Unnamed ProjectCheck for Proper IdentificationVA Time Per EntityProcess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1.75588464914857</v>
      </c>
      <c r="O5" s="3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s="3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 s="3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s="3" cm="1">
        <f t="array" ref="R5">MIN(IF((DiscreteStatsTable[GroupByKey]=DiscreteStatsTable[[#This Row],[GroupByKey]]),(DiscreteStatsTable[GroupByKey]=DiscreteStatsTable[[#This Row],[GroupByKey]])*DiscreteStatsTable[Average]))</f>
        <v>1.75588464914857</v>
      </c>
      <c r="S5" s="3" cm="1">
        <f t="array" ref="S5">MAX(IF((DiscreteStatsTable[GroupByKey]=DiscreteStatsTable[[#This Row],[GroupByKey]]),(DiscreteStatsTable[GroupByKey]=DiscreteStatsTable[[#This Row],[GroupByKey]])*DiscreteStatsTable[Average]))</f>
        <v>1.75588464914857</v>
      </c>
      <c r="T5" s="3" cm="1">
        <f t="array" ref="T5">MIN(IF((DiscreteStatsTable[GroupByKey]=DiscreteStatsTable[[#This Row],[GroupByKey]]),(DiscreteStatsTable[GroupByKey]=DiscreteStatsTable[[#This Row],[GroupByKey]])*DiscreteStatsTable[Minimum]))</f>
        <v>0.75336596409761103</v>
      </c>
      <c r="U5" s="3" cm="1">
        <f t="array" ref="U5">MAX(IF((DiscreteStatsTable[GroupByKey]=DiscreteStatsTable[[#This Row],[GroupByKey]]),(DiscreteStatsTable[GroupByKey]=DiscreteStatsTable[[#This Row],[GroupByKey]])*DiscreteStatsTable[Maximum]))</f>
        <v>2.9858883624983701</v>
      </c>
      <c r="V5" s="3" cm="1">
        <f t="array" ref="V5">IFERROR(AVERAGE(IF((DiscreteStatsTable[GroupByKey]=DiscreteStatsTable[[#This Row],[GroupByKey]]),(DiscreteStatsTable[GroupByKey]=DiscreteStatsTable[[#This Row],[GroupByKey]])*DiscreteStatsTable[NumberObservations])),0)</f>
        <v>14311</v>
      </c>
      <c r="W5" s="3">
        <f>IF((DiscreteStatsTable[[#This Row],[RepsRequested]]&gt;1),DiscreteStatsTable[[#This Row],[HalfWidth]],DiscreteStatsTable[[#This Row],[BatchMeansHalfWidth]])</f>
        <v>8.2631150716427904E-3</v>
      </c>
      <c r="X5" s="3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 s="3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0</v>
      </c>
      <c r="I6">
        <v>0</v>
      </c>
      <c r="J6">
        <v>0</v>
      </c>
      <c r="K6">
        <v>14311</v>
      </c>
      <c r="L6" s="3" t="str">
        <f>DiscreteStatsTable[[#This Row],[ProjectName]]&amp;DiscreteStatsTable[[#This Row],[Name]]&amp;DiscreteStatsTable[[#This Row],[Type]]&amp;DiscreteStatsTable[[#This Row],[Source]]</f>
        <v>Unnamed ProjectCheck for Proper IdentificationWait Cost Per EntityProcess</v>
      </c>
      <c r="M6" s="3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s="3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s="3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s="3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 s="3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s="3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s="3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s="3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s="3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s="3" cm="1">
        <f t="array" ref="V6">IFERROR(AVERAGE(IF((DiscreteStatsTable[GroupByKey]=DiscreteStatsTable[[#This Row],[GroupByKey]]),(DiscreteStatsTable[GroupByKey]=DiscreteStatsTable[[#This Row],[GroupByKey]])*DiscreteStatsTable[NumberObservations])),0)</f>
        <v>14311</v>
      </c>
      <c r="W6" s="3">
        <f>IF((DiscreteStatsTable[[#This Row],[RepsRequested]]&gt;1),DiscreteStatsTable[[#This Row],[HalfWidth]],DiscreteStatsTable[[#This Row],[BatchMeansHalfWidth]])</f>
        <v>0</v>
      </c>
      <c r="X6" s="3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 s="3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6.4168795622319301</v>
      </c>
      <c r="H7">
        <v>1.2632929695408901</v>
      </c>
      <c r="I7">
        <v>0</v>
      </c>
      <c r="J7">
        <v>49.010029697576101</v>
      </c>
      <c r="K7">
        <v>14311</v>
      </c>
      <c r="L7" s="3" t="str">
        <f>DiscreteStatsTable[[#This Row],[ProjectName]]&amp;DiscreteStatsTable[[#This Row],[Name]]&amp;DiscreteStatsTable[[#This Row],[Type]]&amp;DiscreteStatsTable[[#This Row],[Source]]</f>
        <v>Unnamed ProjectCheck for Proper IdentificationWait Time Per EntityProcess</v>
      </c>
      <c r="M7" s="3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s="3" cm="1">
        <f t="array" ref="N7">IFERROR(AVERAGE(IF((DiscreteStatsTable[GroupByKey]=DiscreteStatsTable[[#This Row],[GroupByKey]]),(DiscreteStatsTable[GroupByKey]=DiscreteStatsTable[[#This Row],[GroupByKey]])*DiscreteStatsTable[Average])),0)</f>
        <v>6.4168795622319301</v>
      </c>
      <c r="O7" s="3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s="3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 s="3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s="3" cm="1">
        <f t="array" ref="R7">MIN(IF((DiscreteStatsTable[GroupByKey]=DiscreteStatsTable[[#This Row],[GroupByKey]]),(DiscreteStatsTable[GroupByKey]=DiscreteStatsTable[[#This Row],[GroupByKey]])*DiscreteStatsTable[Average]))</f>
        <v>6.4168795622319301</v>
      </c>
      <c r="S7" s="3" cm="1">
        <f t="array" ref="S7">MAX(IF((DiscreteStatsTable[GroupByKey]=DiscreteStatsTable[[#This Row],[GroupByKey]]),(DiscreteStatsTable[GroupByKey]=DiscreteStatsTable[[#This Row],[GroupByKey]])*DiscreteStatsTable[Average]))</f>
        <v>6.4168795622319301</v>
      </c>
      <c r="T7" s="3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s="3" cm="1">
        <f t="array" ref="U7">MAX(IF((DiscreteStatsTable[GroupByKey]=DiscreteStatsTable[[#This Row],[GroupByKey]]),(DiscreteStatsTable[GroupByKey]=DiscreteStatsTable[[#This Row],[GroupByKey]])*DiscreteStatsTable[Maximum]))</f>
        <v>49.010029697576101</v>
      </c>
      <c r="V7" s="3" cm="1">
        <f t="array" ref="V7">IFERROR(AVERAGE(IF((DiscreteStatsTable[GroupByKey]=DiscreteStatsTable[[#This Row],[GroupByKey]]),(DiscreteStatsTable[GroupByKey]=DiscreteStatsTable[[#This Row],[GroupByKey]])*DiscreteStatsTable[NumberObservations])),0)</f>
        <v>14311</v>
      </c>
      <c r="W7" s="3">
        <f>IF((DiscreteStatsTable[[#This Row],[RepsRequested]]&gt;1),DiscreteStatsTable[[#This Row],[HalfWidth]],DiscreteStatsTable[[#This Row],[BatchMeansHalfWidth]])</f>
        <v>1.2632929695408901</v>
      </c>
      <c r="X7" s="3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 s="3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0</v>
      </c>
      <c r="H8">
        <v>0</v>
      </c>
      <c r="I8">
        <v>0</v>
      </c>
      <c r="J8">
        <v>0</v>
      </c>
      <c r="K8">
        <v>14312</v>
      </c>
      <c r="L8" s="3" t="str">
        <f>DiscreteStatsTable[[#This Row],[ProjectName]]&amp;DiscreteStatsTable[[#This Row],[Name]]&amp;DiscreteStatsTable[[#This Row],[Type]]&amp;DiscreteStatsTable[[#This Row],[Source]]</f>
        <v>Unnamed ProjectCheck for Proper Identification.QueueWaiting CostQueue</v>
      </c>
      <c r="M8" s="3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s="3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s="3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s="3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 s="3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s="3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s="3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s="3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s="3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s="3" cm="1">
        <f t="array" ref="V8">IFERROR(AVERAGE(IF((DiscreteStatsTable[GroupByKey]=DiscreteStatsTable[[#This Row],[GroupByKey]]),(DiscreteStatsTable[GroupByKey]=DiscreteStatsTable[[#This Row],[GroupByKey]])*DiscreteStatsTable[NumberObservations])),0)</f>
        <v>14312</v>
      </c>
      <c r="W8" s="3">
        <f>IF((DiscreteStatsTable[[#This Row],[RepsRequested]]&gt;1),DiscreteStatsTable[[#This Row],[HalfWidth]],DiscreteStatsTable[[#This Row],[BatchMeansHalfWidth]])</f>
        <v>0</v>
      </c>
      <c r="X8" s="3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 s="3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69</v>
      </c>
      <c r="C9">
        <v>1</v>
      </c>
      <c r="D9" t="s">
        <v>78</v>
      </c>
      <c r="E9" t="s">
        <v>81</v>
      </c>
      <c r="F9" t="s">
        <v>80</v>
      </c>
      <c r="G9">
        <v>6.4165273746336204</v>
      </c>
      <c r="H9">
        <v>1.2632929695408901</v>
      </c>
      <c r="I9">
        <v>0</v>
      </c>
      <c r="J9">
        <v>49.010029697576101</v>
      </c>
      <c r="K9">
        <v>14312</v>
      </c>
      <c r="L9" s="3" t="str">
        <f>DiscreteStatsTable[[#This Row],[ProjectName]]&amp;DiscreteStatsTable[[#This Row],[Name]]&amp;DiscreteStatsTable[[#This Row],[Type]]&amp;DiscreteStatsTable[[#This Row],[Source]]</f>
        <v>Unnamed ProjectCheck for Proper Identification.QueueWaiting TimeQueue</v>
      </c>
      <c r="M9" s="3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s="3" cm="1">
        <f t="array" ref="N9">IFERROR(AVERAGE(IF((DiscreteStatsTable[GroupByKey]=DiscreteStatsTable[[#This Row],[GroupByKey]]),(DiscreteStatsTable[GroupByKey]=DiscreteStatsTable[[#This Row],[GroupByKey]])*DiscreteStatsTable[Average])),0)</f>
        <v>6.4165273746336204</v>
      </c>
      <c r="O9" s="3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s="3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 s="3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s="3" cm="1">
        <f t="array" ref="R9">MIN(IF((DiscreteStatsTable[GroupByKey]=DiscreteStatsTable[[#This Row],[GroupByKey]]),(DiscreteStatsTable[GroupByKey]=DiscreteStatsTable[[#This Row],[GroupByKey]])*DiscreteStatsTable[Average]))</f>
        <v>6.4165273746336204</v>
      </c>
      <c r="S9" s="3" cm="1">
        <f t="array" ref="S9">MAX(IF((DiscreteStatsTable[GroupByKey]=DiscreteStatsTable[[#This Row],[GroupByKey]]),(DiscreteStatsTable[GroupByKey]=DiscreteStatsTable[[#This Row],[GroupByKey]])*DiscreteStatsTable[Average]))</f>
        <v>6.4165273746336204</v>
      </c>
      <c r="T9" s="3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s="3" cm="1">
        <f t="array" ref="U9">MAX(IF((DiscreteStatsTable[GroupByKey]=DiscreteStatsTable[[#This Row],[GroupByKey]]),(DiscreteStatsTable[GroupByKey]=DiscreteStatsTable[[#This Row],[GroupByKey]])*DiscreteStatsTable[Maximum]))</f>
        <v>49.010029697576101</v>
      </c>
      <c r="V9" s="3" cm="1">
        <f t="array" ref="V9">IFERROR(AVERAGE(IF((DiscreteStatsTable[GroupByKey]=DiscreteStatsTable[[#This Row],[GroupByKey]]),(DiscreteStatsTable[GroupByKey]=DiscreteStatsTable[[#This Row],[GroupByKey]])*DiscreteStatsTable[NumberObservations])),0)</f>
        <v>14312</v>
      </c>
      <c r="W9" s="3">
        <f>IF((DiscreteStatsTable[[#This Row],[RepsRequested]]&gt;1),DiscreteStatsTable[[#This Row],[HalfWidth]],DiscreteStatsTable[[#This Row],[BatchMeansHalfWidth]])</f>
        <v>1.2632929695408901</v>
      </c>
      <c r="X9" s="3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 s="3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69</v>
      </c>
      <c r="C10">
        <v>1</v>
      </c>
      <c r="D10" t="s">
        <v>82</v>
      </c>
      <c r="E10" t="s">
        <v>83</v>
      </c>
      <c r="F10" t="s">
        <v>84</v>
      </c>
      <c r="G10">
        <v>0</v>
      </c>
      <c r="H10">
        <v>0</v>
      </c>
      <c r="I10">
        <v>0</v>
      </c>
      <c r="J10">
        <v>0</v>
      </c>
      <c r="K10">
        <v>14311</v>
      </c>
      <c r="L10" s="3" t="str">
        <f>DiscreteStatsTable[[#This Row],[ProjectName]]&amp;DiscreteStatsTable[[#This Row],[Name]]&amp;DiscreteStatsTable[[#This Row],[Type]]&amp;DiscreteStatsTable[[#This Row],[Source]]</f>
        <v>Unnamed ProjectPassengersNVA CostEntity</v>
      </c>
      <c r="M10" s="3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s="3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s="3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s="3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 s="3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s="3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s="3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s="3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s="3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s="3" cm="1">
        <f t="array" ref="V10">IFERROR(AVERAGE(IF((DiscreteStatsTable[GroupByKey]=DiscreteStatsTable[[#This Row],[GroupByKey]]),(DiscreteStatsTable[GroupByKey]=DiscreteStatsTable[[#This Row],[GroupByKey]])*DiscreteStatsTable[NumberObservations])),0)</f>
        <v>14311</v>
      </c>
      <c r="W10" s="3">
        <f>IF((DiscreteStatsTable[[#This Row],[RepsRequested]]&gt;1),DiscreteStatsTable[[#This Row],[HalfWidth]],DiscreteStatsTable[[#This Row],[BatchMeansHalfWidth]])</f>
        <v>0</v>
      </c>
      <c r="X10" s="3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 s="3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69</v>
      </c>
      <c r="C11">
        <v>1</v>
      </c>
      <c r="D11" t="s">
        <v>82</v>
      </c>
      <c r="E11" t="s">
        <v>85</v>
      </c>
      <c r="F11" t="s">
        <v>84</v>
      </c>
      <c r="G11">
        <v>0</v>
      </c>
      <c r="H11">
        <v>0</v>
      </c>
      <c r="I11">
        <v>0</v>
      </c>
      <c r="J11">
        <v>0</v>
      </c>
      <c r="K11">
        <v>14311</v>
      </c>
      <c r="L11" s="3" t="str">
        <f>DiscreteStatsTable[[#This Row],[ProjectName]]&amp;DiscreteStatsTable[[#This Row],[Name]]&amp;DiscreteStatsTable[[#This Row],[Type]]&amp;DiscreteStatsTable[[#This Row],[Source]]</f>
        <v>Unnamed ProjectPassengersNVA TimeEntity</v>
      </c>
      <c r="M11" s="3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s="3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s="3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s="3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 s="3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s="3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s="3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s="3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s="3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s="3" cm="1">
        <f t="array" ref="V11">IFERROR(AVERAGE(IF((DiscreteStatsTable[GroupByKey]=DiscreteStatsTable[[#This Row],[GroupByKey]]),(DiscreteStatsTable[GroupByKey]=DiscreteStatsTable[[#This Row],[GroupByKey]])*DiscreteStatsTable[NumberObservations])),0)</f>
        <v>14311</v>
      </c>
      <c r="W11" s="3">
        <f>IF((DiscreteStatsTable[[#This Row],[RepsRequested]]&gt;1),DiscreteStatsTable[[#This Row],[HalfWidth]],DiscreteStatsTable[[#This Row],[BatchMeansHalfWidth]])</f>
        <v>0</v>
      </c>
      <c r="X11" s="3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 s="3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69</v>
      </c>
      <c r="C12">
        <v>1</v>
      </c>
      <c r="D12" t="s">
        <v>82</v>
      </c>
      <c r="E12" t="s">
        <v>86</v>
      </c>
      <c r="F12" t="s">
        <v>84</v>
      </c>
      <c r="G12">
        <v>0</v>
      </c>
      <c r="H12">
        <v>0</v>
      </c>
      <c r="I12">
        <v>0</v>
      </c>
      <c r="J12">
        <v>0</v>
      </c>
      <c r="K12">
        <v>14311</v>
      </c>
      <c r="L12" t="str">
        <f>DiscreteStatsTable[[#This Row],[ProjectName]]&amp;DiscreteStatsTable[[#This Row],[Name]]&amp;DiscreteStatsTable[[#This Row],[Type]]&amp;DiscreteStatsTable[[#This Row],[Source]]</f>
        <v>Unnamed ProjectPassengersOther CostEntity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s="3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s="3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 s="3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s="3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s="3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s="3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s="3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s="3" cm="1">
        <f t="array" ref="V12">IFERROR(AVERAGE(IF((DiscreteStatsTable[GroupByKey]=DiscreteStatsTable[[#This Row],[GroupByKey]]),(DiscreteStatsTable[GroupByKey]=DiscreteStatsTable[[#This Row],[GroupByKey]])*DiscreteStatsTable[NumberObservations])),0)</f>
        <v>14311</v>
      </c>
      <c r="W12" s="3">
        <f>IF((DiscreteStatsTable[[#This Row],[RepsRequested]]&gt;1),DiscreteStatsTable[[#This Row],[HalfWidth]],DiscreteStatsTable[[#This Row],[BatchMeansHalfWidth]])</f>
        <v>0</v>
      </c>
      <c r="X12" s="3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 s="3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69</v>
      </c>
      <c r="C13">
        <v>1</v>
      </c>
      <c r="D13" t="s">
        <v>82</v>
      </c>
      <c r="E13" t="s">
        <v>87</v>
      </c>
      <c r="F13" t="s">
        <v>84</v>
      </c>
      <c r="G13">
        <v>0</v>
      </c>
      <c r="H13">
        <v>0</v>
      </c>
      <c r="I13">
        <v>0</v>
      </c>
      <c r="J13">
        <v>0</v>
      </c>
      <c r="K13">
        <v>14311</v>
      </c>
      <c r="L13" t="str">
        <f>DiscreteStatsTable[[#This Row],[ProjectName]]&amp;DiscreteStatsTable[[#This Row],[Name]]&amp;DiscreteStatsTable[[#This Row],[Type]]&amp;DiscreteStatsTable[[#This Row],[Source]]</f>
        <v>Unnamed ProjectPassengersOther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s="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s="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 s="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s="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s="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s="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s="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s="3" cm="1">
        <f t="array" ref="V13">IFERROR(AVERAGE(IF((DiscreteStatsTable[GroupByKey]=DiscreteStatsTable[[#This Row],[GroupByKey]]),(DiscreteStatsTable[GroupByKey]=DiscreteStatsTable[[#This Row],[GroupByKey]])*DiscreteStatsTable[NumberObservations])),0)</f>
        <v>14311</v>
      </c>
      <c r="W13" s="3">
        <f>IF((DiscreteStatsTable[[#This Row],[RepsRequested]]&gt;1),DiscreteStatsTable[[#This Row],[HalfWidth]],DiscreteStatsTable[[#This Row],[BatchMeansHalfWidth]])</f>
        <v>0</v>
      </c>
      <c r="X13" s="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 s="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69</v>
      </c>
      <c r="C14">
        <v>1</v>
      </c>
      <c r="D14" t="s">
        <v>82</v>
      </c>
      <c r="E14" t="s">
        <v>88</v>
      </c>
      <c r="F14" t="s">
        <v>84</v>
      </c>
      <c r="G14">
        <v>0.35117692982971499</v>
      </c>
      <c r="H14">
        <v>1.65262301432855E-3</v>
      </c>
      <c r="I14">
        <v>0.15067319281952199</v>
      </c>
      <c r="J14">
        <v>0.59717767249967402</v>
      </c>
      <c r="K14">
        <v>14311</v>
      </c>
      <c r="L14" t="str">
        <f>DiscreteStatsTable[[#This Row],[ProjectName]]&amp;DiscreteStatsTable[[#This Row],[Name]]&amp;DiscreteStatsTable[[#This Row],[Type]]&amp;DiscreteStatsTable[[#This Row],[Source]]</f>
        <v>Unnamed ProjectPassengersTotal CostEntity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0.35117692982971499</v>
      </c>
      <c r="O14" s="3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s="3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 s="3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s="3" cm="1">
        <f t="array" ref="R14">MIN(IF((DiscreteStatsTable[GroupByKey]=DiscreteStatsTable[[#This Row],[GroupByKey]]),(DiscreteStatsTable[GroupByKey]=DiscreteStatsTable[[#This Row],[GroupByKey]])*DiscreteStatsTable[Average]))</f>
        <v>0.35117692982971499</v>
      </c>
      <c r="S14" s="3" cm="1">
        <f t="array" ref="S14">MAX(IF((DiscreteStatsTable[GroupByKey]=DiscreteStatsTable[[#This Row],[GroupByKey]]),(DiscreteStatsTable[GroupByKey]=DiscreteStatsTable[[#This Row],[GroupByKey]])*DiscreteStatsTable[Average]))</f>
        <v>0.35117692982971499</v>
      </c>
      <c r="T14" s="3" cm="1">
        <f t="array" ref="T14">MIN(IF((DiscreteStatsTable[GroupByKey]=DiscreteStatsTable[[#This Row],[GroupByKey]]),(DiscreteStatsTable[GroupByKey]=DiscreteStatsTable[[#This Row],[GroupByKey]])*DiscreteStatsTable[Minimum]))</f>
        <v>0.15067319281952199</v>
      </c>
      <c r="U14" s="3" cm="1">
        <f t="array" ref="U14">MAX(IF((DiscreteStatsTable[GroupByKey]=DiscreteStatsTable[[#This Row],[GroupByKey]]),(DiscreteStatsTable[GroupByKey]=DiscreteStatsTable[[#This Row],[GroupByKey]])*DiscreteStatsTable[Maximum]))</f>
        <v>0.59717767249967402</v>
      </c>
      <c r="V14" s="3" cm="1">
        <f t="array" ref="V14">IFERROR(AVERAGE(IF((DiscreteStatsTable[GroupByKey]=DiscreteStatsTable[[#This Row],[GroupByKey]]),(DiscreteStatsTable[GroupByKey]=DiscreteStatsTable[[#This Row],[GroupByKey]])*DiscreteStatsTable[NumberObservations])),0)</f>
        <v>14311</v>
      </c>
      <c r="W14" s="3">
        <f>IF((DiscreteStatsTable[[#This Row],[RepsRequested]]&gt;1),DiscreteStatsTable[[#This Row],[HalfWidth]],DiscreteStatsTable[[#This Row],[BatchMeansHalfWidth]])</f>
        <v>1.65262301432855E-3</v>
      </c>
      <c r="X14" s="3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 s="3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69</v>
      </c>
      <c r="C15">
        <v>1</v>
      </c>
      <c r="D15" t="s">
        <v>82</v>
      </c>
      <c r="E15" t="s">
        <v>89</v>
      </c>
      <c r="F15" t="s">
        <v>84</v>
      </c>
      <c r="G15">
        <v>8.1727642113805103</v>
      </c>
      <c r="H15">
        <v>1.2641885683321601</v>
      </c>
      <c r="I15">
        <v>0.76600416894871204</v>
      </c>
      <c r="J15">
        <v>50.569694126636001</v>
      </c>
      <c r="K15">
        <v>14311</v>
      </c>
      <c r="L15" t="str">
        <f>DiscreteStatsTable[[#This Row],[ProjectName]]&amp;DiscreteStatsTable[[#This Row],[Name]]&amp;DiscreteStatsTable[[#This Row],[Type]]&amp;DiscreteStatsTable[[#This Row],[Source]]</f>
        <v>Unnamed ProjectPassengersTotal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8.1727642113805103</v>
      </c>
      <c r="O15" s="3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s="3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 s="3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s="3" cm="1">
        <f t="array" ref="R15">MIN(IF((DiscreteStatsTable[GroupByKey]=DiscreteStatsTable[[#This Row],[GroupByKey]]),(DiscreteStatsTable[GroupByKey]=DiscreteStatsTable[[#This Row],[GroupByKey]])*DiscreteStatsTable[Average]))</f>
        <v>8.1727642113805103</v>
      </c>
      <c r="S15" s="3" cm="1">
        <f t="array" ref="S15">MAX(IF((DiscreteStatsTable[GroupByKey]=DiscreteStatsTable[[#This Row],[GroupByKey]]),(DiscreteStatsTable[GroupByKey]=DiscreteStatsTable[[#This Row],[GroupByKey]])*DiscreteStatsTable[Average]))</f>
        <v>8.1727642113805103</v>
      </c>
      <c r="T15" s="3" cm="1">
        <f t="array" ref="T15">MIN(IF((DiscreteStatsTable[GroupByKey]=DiscreteStatsTable[[#This Row],[GroupByKey]]),(DiscreteStatsTable[GroupByKey]=DiscreteStatsTable[[#This Row],[GroupByKey]])*DiscreteStatsTable[Minimum]))</f>
        <v>0.76600416894871204</v>
      </c>
      <c r="U15" s="3" cm="1">
        <f t="array" ref="U15">MAX(IF((DiscreteStatsTable[GroupByKey]=DiscreteStatsTable[[#This Row],[GroupByKey]]),(DiscreteStatsTable[GroupByKey]=DiscreteStatsTable[[#This Row],[GroupByKey]])*DiscreteStatsTable[Maximum]))</f>
        <v>50.569694126636001</v>
      </c>
      <c r="V15" s="3" cm="1">
        <f t="array" ref="V15">IFERROR(AVERAGE(IF((DiscreteStatsTable[GroupByKey]=DiscreteStatsTable[[#This Row],[GroupByKey]]),(DiscreteStatsTable[GroupByKey]=DiscreteStatsTable[[#This Row],[GroupByKey]])*DiscreteStatsTable[NumberObservations])),0)</f>
        <v>14311</v>
      </c>
      <c r="W15" s="3">
        <f>IF((DiscreteStatsTable[[#This Row],[RepsRequested]]&gt;1),DiscreteStatsTable[[#This Row],[HalfWidth]],DiscreteStatsTable[[#This Row],[BatchMeansHalfWidth]])</f>
        <v>1.2641885683321601</v>
      </c>
      <c r="X15" s="3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 s="3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69</v>
      </c>
      <c r="C16">
        <v>1</v>
      </c>
      <c r="D16" t="s">
        <v>82</v>
      </c>
      <c r="E16" t="s">
        <v>90</v>
      </c>
      <c r="F16" t="s">
        <v>84</v>
      </c>
      <c r="G16">
        <v>0</v>
      </c>
      <c r="H16">
        <v>0</v>
      </c>
      <c r="I16">
        <v>0</v>
      </c>
      <c r="J16">
        <v>0</v>
      </c>
      <c r="K16">
        <v>14311</v>
      </c>
      <c r="L16" t="str">
        <f>DiscreteStatsTable[[#This Row],[ProjectName]]&amp;DiscreteStatsTable[[#This Row],[Name]]&amp;DiscreteStatsTable[[#This Row],[Type]]&amp;DiscreteStatsTable[[#This Row],[Source]]</f>
        <v>Unnamed ProjectPassengersTransfer CostEntity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s="3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s="3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 s="3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s="3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s="3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s="3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s="3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s="3" cm="1">
        <f t="array" ref="V16">IFERROR(AVERAGE(IF((DiscreteStatsTable[GroupByKey]=DiscreteStatsTable[[#This Row],[GroupByKey]]),(DiscreteStatsTable[GroupByKey]=DiscreteStatsTable[[#This Row],[GroupByKey]])*DiscreteStatsTable[NumberObservations])),0)</f>
        <v>14311</v>
      </c>
      <c r="W16" s="3">
        <f>IF((DiscreteStatsTable[[#This Row],[RepsRequested]]&gt;1),DiscreteStatsTable[[#This Row],[HalfWidth]],DiscreteStatsTable[[#This Row],[BatchMeansHalfWidth]])</f>
        <v>0</v>
      </c>
      <c r="X16" s="3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 s="3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69</v>
      </c>
      <c r="C17">
        <v>1</v>
      </c>
      <c r="D17" t="s">
        <v>82</v>
      </c>
      <c r="E17" t="s">
        <v>91</v>
      </c>
      <c r="F17" t="s">
        <v>84</v>
      </c>
      <c r="G17">
        <v>0</v>
      </c>
      <c r="H17">
        <v>0</v>
      </c>
      <c r="I17">
        <v>0</v>
      </c>
      <c r="J17">
        <v>0</v>
      </c>
      <c r="K17">
        <v>14311</v>
      </c>
      <c r="L17" t="str">
        <f>DiscreteStatsTable[[#This Row],[ProjectName]]&amp;DiscreteStatsTable[[#This Row],[Name]]&amp;DiscreteStatsTable[[#This Row],[Type]]&amp;DiscreteStatsTable[[#This Row],[Source]]</f>
        <v>Unnamed ProjectPassengersTransfer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s="3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s="3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 s="3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 s="3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s="3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s="3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s="3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s="3" cm="1">
        <f t="array" ref="V17">IFERROR(AVERAGE(IF((DiscreteStatsTable[GroupByKey]=DiscreteStatsTable[[#This Row],[GroupByKey]]),(DiscreteStatsTable[GroupByKey]=DiscreteStatsTable[[#This Row],[GroupByKey]])*DiscreteStatsTable[NumberObservations])),0)</f>
        <v>14311</v>
      </c>
      <c r="W17" s="3">
        <f>IF((DiscreteStatsTable[[#This Row],[RepsRequested]]&gt;1),DiscreteStatsTable[[#This Row],[HalfWidth]],DiscreteStatsTable[[#This Row],[BatchMeansHalfWidth]])</f>
        <v>0</v>
      </c>
      <c r="X17" s="3" cm="1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 s="3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69</v>
      </c>
      <c r="C18">
        <v>1</v>
      </c>
      <c r="D18" t="s">
        <v>82</v>
      </c>
      <c r="E18" t="s">
        <v>92</v>
      </c>
      <c r="F18" t="s">
        <v>84</v>
      </c>
      <c r="G18">
        <v>0.35117692982971499</v>
      </c>
      <c r="H18">
        <v>1.65262301432855E-3</v>
      </c>
      <c r="I18">
        <v>0.15067319281952199</v>
      </c>
      <c r="J18">
        <v>0.59717767249967402</v>
      </c>
      <c r="K18">
        <v>14311</v>
      </c>
      <c r="L18" t="str">
        <f>DiscreteStatsTable[[#This Row],[ProjectName]]&amp;DiscreteStatsTable[[#This Row],[Name]]&amp;DiscreteStatsTable[[#This Row],[Type]]&amp;DiscreteStatsTable[[#This Row],[Source]]</f>
        <v>Unnamed ProjectPassengersVA CostEntity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0.35117692982971499</v>
      </c>
      <c r="O18" s="3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s="3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 s="3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8" s="3" cm="1">
        <f t="array" ref="R18">MIN(IF((DiscreteStatsTable[GroupByKey]=DiscreteStatsTable[[#This Row],[GroupByKey]]),(DiscreteStatsTable[GroupByKey]=DiscreteStatsTable[[#This Row],[GroupByKey]])*DiscreteStatsTable[Average]))</f>
        <v>0.35117692982971499</v>
      </c>
      <c r="S18" s="3" cm="1">
        <f t="array" ref="S18">MAX(IF((DiscreteStatsTable[GroupByKey]=DiscreteStatsTable[[#This Row],[GroupByKey]]),(DiscreteStatsTable[GroupByKey]=DiscreteStatsTable[[#This Row],[GroupByKey]])*DiscreteStatsTable[Average]))</f>
        <v>0.35117692982971499</v>
      </c>
      <c r="T18" s="3" cm="1">
        <f t="array" ref="T18">MIN(IF((DiscreteStatsTable[GroupByKey]=DiscreteStatsTable[[#This Row],[GroupByKey]]),(DiscreteStatsTable[GroupByKey]=DiscreteStatsTable[[#This Row],[GroupByKey]])*DiscreteStatsTable[Minimum]))</f>
        <v>0.15067319281952199</v>
      </c>
      <c r="U18" s="3" cm="1">
        <f t="array" ref="U18">MAX(IF((DiscreteStatsTable[GroupByKey]=DiscreteStatsTable[[#This Row],[GroupByKey]]),(DiscreteStatsTable[GroupByKey]=DiscreteStatsTable[[#This Row],[GroupByKey]])*DiscreteStatsTable[Maximum]))</f>
        <v>0.59717767249967402</v>
      </c>
      <c r="V18" s="3" cm="1">
        <f t="array" ref="V18">IFERROR(AVERAGE(IF((DiscreteStatsTable[GroupByKey]=DiscreteStatsTable[[#This Row],[GroupByKey]]),(DiscreteStatsTable[GroupByKey]=DiscreteStatsTable[[#This Row],[GroupByKey]])*DiscreteStatsTable[NumberObservations])),0)</f>
        <v>14311</v>
      </c>
      <c r="W18" s="3">
        <f>IF((DiscreteStatsTable[[#This Row],[RepsRequested]]&gt;1),DiscreteStatsTable[[#This Row],[HalfWidth]],DiscreteStatsTable[[#This Row],[BatchMeansHalfWidth]])</f>
        <v>1.65262301432855E-3</v>
      </c>
      <c r="X18" s="3" cm="1">
        <f t="array" ref="X18">COUNT(IF((DiscreteStatsTable[GroupByKey]=DiscreteStatsTable[[#This Row],[GroupByKey]]),(DiscreteStatsTable[GroupByKey]=DiscreteStatsTable[[#This Row],[GroupByKey]])*DiscreteStatsTable[Replication]))</f>
        <v>1</v>
      </c>
      <c r="Y18" s="3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69</v>
      </c>
      <c r="C19">
        <v>1</v>
      </c>
      <c r="D19" t="s">
        <v>82</v>
      </c>
      <c r="E19" t="s">
        <v>93</v>
      </c>
      <c r="F19" t="s">
        <v>84</v>
      </c>
      <c r="G19">
        <v>1.75588464914857</v>
      </c>
      <c r="H19">
        <v>8.2631150716427904E-3</v>
      </c>
      <c r="I19">
        <v>0.75336596409761103</v>
      </c>
      <c r="J19">
        <v>2.9858883624983701</v>
      </c>
      <c r="K19">
        <v>14311</v>
      </c>
      <c r="L19" t="str">
        <f>DiscreteStatsTable[[#This Row],[ProjectName]]&amp;DiscreteStatsTable[[#This Row],[Name]]&amp;DiscreteStatsTable[[#This Row],[Type]]&amp;DiscreteStatsTable[[#This Row],[Source]]</f>
        <v>Unnamed ProjectPassengersVA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1.75588464914857</v>
      </c>
      <c r="O19" s="3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s="3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 s="3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9" s="3" cm="1">
        <f t="array" ref="R19">MIN(IF((DiscreteStatsTable[GroupByKey]=DiscreteStatsTable[[#This Row],[GroupByKey]]),(DiscreteStatsTable[GroupByKey]=DiscreteStatsTable[[#This Row],[GroupByKey]])*DiscreteStatsTable[Average]))</f>
        <v>1.75588464914857</v>
      </c>
      <c r="S19" s="3" cm="1">
        <f t="array" ref="S19">MAX(IF((DiscreteStatsTable[GroupByKey]=DiscreteStatsTable[[#This Row],[GroupByKey]]),(DiscreteStatsTable[GroupByKey]=DiscreteStatsTable[[#This Row],[GroupByKey]])*DiscreteStatsTable[Average]))</f>
        <v>1.75588464914857</v>
      </c>
      <c r="T19" s="3" cm="1">
        <f t="array" ref="T19">MIN(IF((DiscreteStatsTable[GroupByKey]=DiscreteStatsTable[[#This Row],[GroupByKey]]),(DiscreteStatsTable[GroupByKey]=DiscreteStatsTable[[#This Row],[GroupByKey]])*DiscreteStatsTable[Minimum]))</f>
        <v>0.75336596409761103</v>
      </c>
      <c r="U19" s="3" cm="1">
        <f t="array" ref="U19">MAX(IF((DiscreteStatsTable[GroupByKey]=DiscreteStatsTable[[#This Row],[GroupByKey]]),(DiscreteStatsTable[GroupByKey]=DiscreteStatsTable[[#This Row],[GroupByKey]])*DiscreteStatsTable[Maximum]))</f>
        <v>2.9858883624983701</v>
      </c>
      <c r="V19" s="3" cm="1">
        <f t="array" ref="V19">IFERROR(AVERAGE(IF((DiscreteStatsTable[GroupByKey]=DiscreteStatsTable[[#This Row],[GroupByKey]]),(DiscreteStatsTable[GroupByKey]=DiscreteStatsTable[[#This Row],[GroupByKey]])*DiscreteStatsTable[NumberObservations])),0)</f>
        <v>14311</v>
      </c>
      <c r="W19" s="3">
        <f>IF((DiscreteStatsTable[[#This Row],[RepsRequested]]&gt;1),DiscreteStatsTable[[#This Row],[HalfWidth]],DiscreteStatsTable[[#This Row],[BatchMeansHalfWidth]])</f>
        <v>8.2631150716427904E-3</v>
      </c>
      <c r="X19" s="3" cm="1">
        <f t="array" ref="X19">COUNT(IF((DiscreteStatsTable[GroupByKey]=DiscreteStatsTable[[#This Row],[GroupByKey]]),(DiscreteStatsTable[GroupByKey]=DiscreteStatsTable[[#This Row],[GroupByKey]])*DiscreteStatsTable[Replication]))</f>
        <v>1</v>
      </c>
      <c r="Y19" s="3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69</v>
      </c>
      <c r="C20">
        <v>1</v>
      </c>
      <c r="D20" t="s">
        <v>82</v>
      </c>
      <c r="E20" t="s">
        <v>94</v>
      </c>
      <c r="F20" t="s">
        <v>84</v>
      </c>
      <c r="G20">
        <v>0</v>
      </c>
      <c r="H20">
        <v>0</v>
      </c>
      <c r="I20">
        <v>0</v>
      </c>
      <c r="J20">
        <v>0</v>
      </c>
      <c r="K20">
        <v>14311</v>
      </c>
      <c r="L20" t="str">
        <f>DiscreteStatsTable[[#This Row],[ProjectName]]&amp;DiscreteStatsTable[[#This Row],[Name]]&amp;DiscreteStatsTable[[#This Row],[Type]]&amp;DiscreteStatsTable[[#This Row],[Source]]</f>
        <v>Unnamed ProjectPassengersWait CostEntity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s="3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s="3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 s="3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0" s="3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s="3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s="3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s="3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s="3" cm="1">
        <f t="array" ref="V20">IFERROR(AVERAGE(IF((DiscreteStatsTable[GroupByKey]=DiscreteStatsTable[[#This Row],[GroupByKey]]),(DiscreteStatsTable[GroupByKey]=DiscreteStatsTable[[#This Row],[GroupByKey]])*DiscreteStatsTable[NumberObservations])),0)</f>
        <v>14311</v>
      </c>
      <c r="W20" s="3">
        <f>IF((DiscreteStatsTable[[#This Row],[RepsRequested]]&gt;1),DiscreteStatsTable[[#This Row],[HalfWidth]],DiscreteStatsTable[[#This Row],[BatchMeansHalfWidth]])</f>
        <v>0</v>
      </c>
      <c r="X20" s="3" cm="1">
        <f t="array" ref="X20">COUNT(IF((DiscreteStatsTable[GroupByKey]=DiscreteStatsTable[[#This Row],[GroupByKey]]),(DiscreteStatsTable[GroupByKey]=DiscreteStatsTable[[#This Row],[GroupByKey]])*DiscreteStatsTable[Replication]))</f>
        <v>1</v>
      </c>
      <c r="Y20" s="3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69</v>
      </c>
      <c r="C21">
        <v>1</v>
      </c>
      <c r="D21" t="s">
        <v>82</v>
      </c>
      <c r="E21" t="s">
        <v>95</v>
      </c>
      <c r="F21" t="s">
        <v>84</v>
      </c>
      <c r="G21">
        <v>6.4168795622319301</v>
      </c>
      <c r="H21">
        <v>1.2632929695408901</v>
      </c>
      <c r="I21">
        <v>0</v>
      </c>
      <c r="J21">
        <v>49.010029697576101</v>
      </c>
      <c r="K21">
        <v>14311</v>
      </c>
      <c r="L21" t="str">
        <f>DiscreteStatsTable[[#This Row],[ProjectName]]&amp;DiscreteStatsTable[[#This Row],[Name]]&amp;DiscreteStatsTable[[#This Row],[Type]]&amp;DiscreteStatsTable[[#This Row],[Source]]</f>
        <v>Unnamed ProjectPassengersWait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6.4168795622319301</v>
      </c>
      <c r="O21" s="3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s="3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 s="3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1" s="3" cm="1">
        <f t="array" ref="R21">MIN(IF((DiscreteStatsTable[GroupByKey]=DiscreteStatsTable[[#This Row],[GroupByKey]]),(DiscreteStatsTable[GroupByKey]=DiscreteStatsTable[[#This Row],[GroupByKey]])*DiscreteStatsTable[Average]))</f>
        <v>6.4168795622319301</v>
      </c>
      <c r="S21" s="3" cm="1">
        <f t="array" ref="S21">MAX(IF((DiscreteStatsTable[GroupByKey]=DiscreteStatsTable[[#This Row],[GroupByKey]]),(DiscreteStatsTable[GroupByKey]=DiscreteStatsTable[[#This Row],[GroupByKey]])*DiscreteStatsTable[Average]))</f>
        <v>6.4168795622319301</v>
      </c>
      <c r="T21" s="3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s="3" cm="1">
        <f t="array" ref="U21">MAX(IF((DiscreteStatsTable[GroupByKey]=DiscreteStatsTable[[#This Row],[GroupByKey]]),(DiscreteStatsTable[GroupByKey]=DiscreteStatsTable[[#This Row],[GroupByKey]])*DiscreteStatsTable[Maximum]))</f>
        <v>49.010029697576101</v>
      </c>
      <c r="V21" s="3" cm="1">
        <f t="array" ref="V21">IFERROR(AVERAGE(IF((DiscreteStatsTable[GroupByKey]=DiscreteStatsTable[[#This Row],[GroupByKey]]),(DiscreteStatsTable[GroupByKey]=DiscreteStatsTable[[#This Row],[GroupByKey]])*DiscreteStatsTable[NumberObservations])),0)</f>
        <v>14311</v>
      </c>
      <c r="W21" s="3">
        <f>IF((DiscreteStatsTable[[#This Row],[RepsRequested]]&gt;1),DiscreteStatsTable[[#This Row],[HalfWidth]],DiscreteStatsTable[[#This Row],[BatchMeansHalfWidth]])</f>
        <v>1.2632929695408901</v>
      </c>
      <c r="X21" s="3" cm="1">
        <f t="array" ref="X21">COUNT(IF((DiscreteStatsTable[GroupByKey]=DiscreteStatsTable[[#This Row],[GroupByKey]]),(DiscreteStatsTable[GroupByKey]=DiscreteStatsTable[[#This Row],[GroupByKey]])*DiscreteStatsTable[Replication]))</f>
        <v>1</v>
      </c>
      <c r="Y21" s="3">
        <f>IF(DiscreteStatsTable[[#This Row],[RepsRequested]]=DiscreteStatsTable[[#This Row],[RepsWithStatObserved]],1,0)</f>
        <v>1</v>
      </c>
    </row>
  </sheetData>
  <phoneticPr fontId="2" type="noConversion"/>
  <conditionalFormatting sqref="H2:H21 Q2:Q21">
    <cfRule type="expression" dxfId="24" priority="23">
      <formula>H2=200000000000000000000</formula>
    </cfRule>
  </conditionalFormatting>
  <conditionalFormatting sqref="H2:H21">
    <cfRule type="expression" dxfId="23" priority="21">
      <formula>H2=300000000000000000000</formula>
    </cfRule>
  </conditionalFormatting>
  <conditionalFormatting sqref="L2:Y21">
    <cfRule type="expression" dxfId="22" priority="19">
      <formula>MOD(ROW(),2)=0</formula>
    </cfRule>
  </conditionalFormatting>
  <conditionalFormatting sqref="Y2:Y21">
    <cfRule type="expression" dxfId="21" priority="14">
      <formula>Y2=0</formula>
    </cfRule>
    <cfRule type="expression" dxfId="20" priority="16">
      <formula>Y2=1</formula>
    </cfRule>
  </conditionalFormatting>
  <conditionalFormatting sqref="Y3:Y21">
    <cfRule type="expression" dxfId="19" priority="15">
      <formula>Y3=1</formula>
    </cfRule>
  </conditionalFormatting>
  <conditionalFormatting sqref="W2:W21">
    <cfRule type="expression" dxfId="18" priority="6">
      <formula>W2=300000000000000000000</formula>
    </cfRule>
    <cfRule type="expression" dxfId="17" priority="7">
      <formula>W2=200000000000000000000</formula>
    </cfRule>
  </conditionalFormatting>
  <conditionalFormatting sqref="Q2:Q21 W2:W21">
    <cfRule type="expression" dxfId="16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72.71093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78</v>
      </c>
      <c r="E2" t="s">
        <v>96</v>
      </c>
      <c r="F2" t="s">
        <v>80</v>
      </c>
      <c r="G2">
        <v>3.1887385652364402</v>
      </c>
      <c r="H2">
        <v>0.53390651356769503</v>
      </c>
      <c r="I2">
        <v>0</v>
      </c>
      <c r="J2">
        <v>31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ProjectCheck for Proper Identification.QueueNumber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3.1887385652364402</v>
      </c>
      <c r="P2" s="3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s="3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s="3" cm="1">
        <f t="array" ref="S2">MIN(IF((ContinuousStatsTable[GroupByKey]=ContinuousStatsTable[[#This Row],[GroupByKey]]),(ContinuousStatsTable[GroupByKey]=ContinuousStatsTable[[#This Row],[GroupByKey]])*ContinuousStatsTable[Average]))</f>
        <v>3.1887385652364402</v>
      </c>
      <c r="T2" s="3" cm="1">
        <f t="array" ref="T2">MAX(IF((ContinuousStatsTable[GroupByKey]=ContinuousStatsTable[[#This Row],[GroupByKey]]),(ContinuousStatsTable[GroupByKey]=ContinuousStatsTable[[#This Row],[GroupByKey]])*ContinuousStatsTable[Average]))</f>
        <v>3.1887385652364402</v>
      </c>
      <c r="U2" s="3">
        <f>IF((ContinuousStatsTable[[#This Row],[RepsRequested]]&gt;1),ContinuousStatsTable[[#This Row],[HalfWidth]],ContinuousStatsTable[[#This Row],[BatchMeansHalfWidth]])</f>
        <v>0.53390651356769503</v>
      </c>
    </row>
    <row r="3" spans="1:21" x14ac:dyDescent="0.25">
      <c r="A3" t="s">
        <v>67</v>
      </c>
      <c r="B3" t="s">
        <v>69</v>
      </c>
      <c r="C3">
        <v>1</v>
      </c>
      <c r="D3" t="s">
        <v>82</v>
      </c>
      <c r="E3" t="s">
        <v>97</v>
      </c>
      <c r="F3" t="s">
        <v>84</v>
      </c>
      <c r="G3">
        <v>4.0613176778917701</v>
      </c>
      <c r="H3">
        <v>0.54149592043897099</v>
      </c>
      <c r="I3">
        <v>0</v>
      </c>
      <c r="J3">
        <v>32</v>
      </c>
      <c r="K3">
        <v>2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ProjectPassengersWIPEntity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4.0613176778917701</v>
      </c>
      <c r="P3" s="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s="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s="3" cm="1">
        <f t="array" ref="S3">MIN(IF((ContinuousStatsTable[GroupByKey]=ContinuousStatsTable[[#This Row],[GroupByKey]]),(ContinuousStatsTable[GroupByKey]=ContinuousStatsTable[[#This Row],[GroupByKey]])*ContinuousStatsTable[Average]))</f>
        <v>4.0613176778917701</v>
      </c>
      <c r="T3" s="3" cm="1">
        <f t="array" ref="T3">MAX(IF((ContinuousStatsTable[GroupByKey]=ContinuousStatsTable[[#This Row],[GroupByKey]]),(ContinuousStatsTable[GroupByKey]=ContinuousStatsTable[[#This Row],[GroupByKey]])*ContinuousStatsTable[Average]))</f>
        <v>4.0613176778917701</v>
      </c>
      <c r="U3" s="3">
        <f>IF((ContinuousStatsTable[[#This Row],[RepsRequested]]&gt;1),ContinuousStatsTable[[#This Row],[HalfWidth]],ContinuousStatsTable[[#This Row],[BatchMeansHalfWidth]])</f>
        <v>0.54149592043897099</v>
      </c>
    </row>
    <row r="4" spans="1:21" x14ac:dyDescent="0.25">
      <c r="A4" t="s">
        <v>67</v>
      </c>
      <c r="B4" t="s">
        <v>69</v>
      </c>
      <c r="C4">
        <v>1</v>
      </c>
      <c r="D4" t="s">
        <v>98</v>
      </c>
      <c r="E4" t="s">
        <v>99</v>
      </c>
      <c r="F4" t="s">
        <v>100</v>
      </c>
      <c r="G4">
        <v>0.87257911265531496</v>
      </c>
      <c r="H4">
        <v>1.3198890833247E-2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ProjectTransport Security OfficeInstantaneous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0.87257911265531496</v>
      </c>
      <c r="P4" s="3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s="3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s="3" cm="1">
        <f t="array" ref="S4">MIN(IF((ContinuousStatsTable[GroupByKey]=ContinuousStatsTable[[#This Row],[GroupByKey]]),(ContinuousStatsTable[GroupByKey]=ContinuousStatsTable[[#This Row],[GroupByKey]])*ContinuousStatsTable[Average]))</f>
        <v>0.87257911265531496</v>
      </c>
      <c r="T4" s="3" cm="1">
        <f t="array" ref="T4">MAX(IF((ContinuousStatsTable[GroupByKey]=ContinuousStatsTable[[#This Row],[GroupByKey]]),(ContinuousStatsTable[GroupByKey]=ContinuousStatsTable[[#This Row],[GroupByKey]])*ContinuousStatsTable[Average]))</f>
        <v>0.87257911265531496</v>
      </c>
      <c r="U4" s="3">
        <f>IF((ContinuousStatsTable[[#This Row],[RepsRequested]]&gt;1),ContinuousStatsTable[[#This Row],[HalfWidth]],ContinuousStatsTable[[#This Row],[BatchMeansHalfWidth]])</f>
        <v>1.3198890833247E-2</v>
      </c>
    </row>
    <row r="5" spans="1:21" x14ac:dyDescent="0.25">
      <c r="A5" t="s">
        <v>67</v>
      </c>
      <c r="B5" t="s">
        <v>69</v>
      </c>
      <c r="C5">
        <v>1</v>
      </c>
      <c r="D5" t="s">
        <v>98</v>
      </c>
      <c r="E5" t="s">
        <v>101</v>
      </c>
      <c r="F5" t="s">
        <v>100</v>
      </c>
      <c r="G5">
        <v>0.87257911265531496</v>
      </c>
      <c r="H5">
        <v>1.3198890833247E-2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ProjectTransport Security OfficeNumber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0.87257911265531496</v>
      </c>
      <c r="P5" s="3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s="3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s="3" cm="1">
        <f t="array" ref="S5">MIN(IF((ContinuousStatsTable[GroupByKey]=ContinuousStatsTable[[#This Row],[GroupByKey]]),(ContinuousStatsTable[GroupByKey]=ContinuousStatsTable[[#This Row],[GroupByKey]])*ContinuousStatsTable[Average]))</f>
        <v>0.87257911265531496</v>
      </c>
      <c r="T5" s="3" cm="1">
        <f t="array" ref="T5">MAX(IF((ContinuousStatsTable[GroupByKey]=ContinuousStatsTable[[#This Row],[GroupByKey]]),(ContinuousStatsTable[GroupByKey]=ContinuousStatsTable[[#This Row],[GroupByKey]])*ContinuousStatsTable[Average]))</f>
        <v>0.87257911265531496</v>
      </c>
      <c r="U5" s="3">
        <f>IF((ContinuousStatsTable[[#This Row],[RepsRequested]]&gt;1),ContinuousStatsTable[[#This Row],[HalfWidth]],ContinuousStatsTable[[#This Row],[BatchMeansHalfWidth]])</f>
        <v>1.3198890833247E-2</v>
      </c>
    </row>
    <row r="6" spans="1:21" x14ac:dyDescent="0.25">
      <c r="A6" t="s">
        <v>67</v>
      </c>
      <c r="B6" t="s">
        <v>69</v>
      </c>
      <c r="C6">
        <v>1</v>
      </c>
      <c r="D6" t="s">
        <v>98</v>
      </c>
      <c r="E6" t="s">
        <v>102</v>
      </c>
      <c r="F6" t="s">
        <v>100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ProjectTransport Security OfficeNumber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s="3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s="3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s="3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s="3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 s="3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6">
    <cfRule type="expression" dxfId="15" priority="9">
      <formula>H2=200000000000000000000</formula>
    </cfRule>
  </conditionalFormatting>
  <conditionalFormatting sqref="H2:H6">
    <cfRule type="expression" dxfId="14" priority="7">
      <formula>H2=300000000000000000000</formula>
    </cfRule>
  </conditionalFormatting>
  <conditionalFormatting sqref="M2:U6">
    <cfRule type="expression" dxfId="13" priority="5">
      <formula>MOD(ROW(),2)=0</formula>
    </cfRule>
  </conditionalFormatting>
  <conditionalFormatting sqref="U2:U6">
    <cfRule type="expression" dxfId="12" priority="3">
      <formula>U2=200000000000000000000</formula>
    </cfRule>
    <cfRule type="expression" dxfId="11" priority="4">
      <formula>U2=300000000000000000000</formula>
    </cfRule>
  </conditionalFormatting>
  <conditionalFormatting sqref="R2:R6 U2:U6">
    <cfRule type="expression" dxfId="10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K2" s="3"/>
      <c r="L2" s="3"/>
      <c r="M2" s="3"/>
      <c r="N2" s="3"/>
      <c r="O2" s="3"/>
    </row>
  </sheetData>
  <phoneticPr fontId="2" type="noConversion"/>
  <conditionalFormatting sqref="H2:O2">
    <cfRule type="expression" dxfId="9" priority="2">
      <formula>MOD(ROW(),2)=0</formula>
    </cfRule>
  </conditionalFormatting>
  <conditionalFormatting sqref="M2">
    <cfRule type="expression" dxfId="8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8"/>
  <sheetViews>
    <sheetView workbookViewId="0">
      <selection activeCell="H2" sqref="H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45.28515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103</v>
      </c>
      <c r="E2" t="s">
        <v>83</v>
      </c>
      <c r="F2" t="s">
        <v>104</v>
      </c>
      <c r="G2">
        <v>0</v>
      </c>
      <c r="H2">
        <v>0</v>
      </c>
      <c r="I2" t="str">
        <f>OutputTable[[#This Row],[ProjectName]]&amp;OutputTable[[#This Row],[Name]]&amp;OutputTable[[#This Row],[Type]]&amp;OutputTable[[#This Row],[Source]]</f>
        <v>Unnamed ProjectAll Entities.NVACostNVA CostSystem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s="3" cm="1">
        <f t="array" ref="L2">IFERROR(_xlfn.STDEV.S(IF((OutputTable[GroupByKey]=OutputTable[[#This Row],[GroupByKey]]),(OutputTable[GroupByKey]=OutputTable[[#This Row],[GroupByKey]])*OutputTable[RecordedValue])),0)</f>
        <v>0</v>
      </c>
      <c r="M2" s="3" cm="1">
        <f t="array" ref="M2">MAX(IF((ProjectInfoTable[ProjectName]=OutputTable[[#This Row],[ProjectName]]),(ProjectInfoTable[ProjectName]=OutputTable[[#This Row],[ProjectName]])*ProjectInfoTable[ConfidenceInterval]))</f>
        <v>0.95</v>
      </c>
      <c r="N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s="3" cm="1">
        <f t="array" ref="O2">MIN(IF((OutputTable[GroupByKey]=OutputTable[[#This Row],[GroupByKey]]),(OutputTable[GroupByKey]=OutputTable[[#This Row],[GroupByKey]])*OutputTable[RecordedValue]))</f>
        <v>0</v>
      </c>
      <c r="P2" s="3" cm="1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25">
      <c r="A3" t="s">
        <v>67</v>
      </c>
      <c r="B3" t="s">
        <v>69</v>
      </c>
      <c r="C3">
        <v>1</v>
      </c>
      <c r="D3" t="s">
        <v>105</v>
      </c>
      <c r="E3" t="s">
        <v>86</v>
      </c>
      <c r="F3" t="s">
        <v>104</v>
      </c>
      <c r="G3">
        <v>0</v>
      </c>
      <c r="H3">
        <v>0</v>
      </c>
      <c r="I3" t="str">
        <f>OutputTable[[#This Row],[ProjectName]]&amp;OutputTable[[#This Row],[Name]]&amp;OutputTable[[#This Row],[Type]]&amp;OutputTable[[#This Row],[Source]]</f>
        <v>Unnamed ProjectAll Entities.OtherCostOther CostSystem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</v>
      </c>
      <c r="L3" s="3" cm="1">
        <f t="array" ref="L3">IFERROR(_xlfn.STDEV.S(IF((OutputTable[GroupByKey]=OutputTable[[#This Row],[GroupByKey]]),(OutputTable[GroupByKey]=OutputTable[[#This Row],[GroupByKey]])*OutputTable[RecordedValue])),0)</f>
        <v>0</v>
      </c>
      <c r="M3" s="3" cm="1">
        <f t="array" ref="M3">MAX(IF((ProjectInfoTable[ProjectName]=OutputTable[[#This Row],[ProjectName]]),(ProjectInfoTable[ProjectName]=OutputTable[[#This Row],[ProjectName]])*ProjectInfoTable[ConfidenceInterval]))</f>
        <v>0.95</v>
      </c>
      <c r="N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s="3" cm="1">
        <f t="array" ref="O3">MIN(IF((OutputTable[GroupByKey]=OutputTable[[#This Row],[GroupByKey]]),(OutputTable[GroupByKey]=OutputTable[[#This Row],[GroupByKey]])*OutputTable[RecordedValue]))</f>
        <v>0</v>
      </c>
      <c r="P3" s="3" cm="1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25">
      <c r="A4" t="s">
        <v>67</v>
      </c>
      <c r="B4" t="s">
        <v>69</v>
      </c>
      <c r="C4">
        <v>1</v>
      </c>
      <c r="D4" t="s">
        <v>106</v>
      </c>
      <c r="E4" t="s">
        <v>88</v>
      </c>
      <c r="F4" t="s">
        <v>104</v>
      </c>
      <c r="G4">
        <v>5025.6930427930502</v>
      </c>
      <c r="H4">
        <v>0</v>
      </c>
      <c r="I4" t="str">
        <f>OutputTable[[#This Row],[ProjectName]]&amp;OutputTable[[#This Row],[Name]]&amp;OutputTable[[#This Row],[Type]]&amp;OutputTable[[#This Row],[Source]]</f>
        <v>Unnamed ProjectAll Entities.TotalCostTotal CostSystem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5025.6930427930502</v>
      </c>
      <c r="L4" s="3" cm="1">
        <f t="array" ref="L4">IFERROR(_xlfn.STDEV.S(IF((OutputTable[GroupByKey]=OutputTable[[#This Row],[GroupByKey]]),(OutputTable[GroupByKey]=OutputTable[[#This Row],[GroupByKey]])*OutputTable[RecordedValue])),0)</f>
        <v>0</v>
      </c>
      <c r="M4" s="3" cm="1">
        <f t="array" ref="M4">MAX(IF((ProjectInfoTable[ProjectName]=OutputTable[[#This Row],[ProjectName]]),(ProjectInfoTable[ProjectName]=OutputTable[[#This Row],[ProjectName]])*ProjectInfoTable[ConfidenceInterval]))</f>
        <v>0.95</v>
      </c>
      <c r="N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s="3" cm="1">
        <f t="array" ref="O4">MIN(IF((OutputTable[GroupByKey]=OutputTable[[#This Row],[GroupByKey]]),(OutputTable[GroupByKey]=OutputTable[[#This Row],[GroupByKey]])*OutputTable[RecordedValue]))</f>
        <v>5025.6930427930502</v>
      </c>
      <c r="P4" s="3" cm="1">
        <f t="array" ref="P4">MAX(IF((OutputTable[GroupByKey]=OutputTable[[#This Row],[GroupByKey]]),(OutputTable[GroupByKey]=OutputTable[[#This Row],[GroupByKey]])*OutputTable[RecordedValue]))</f>
        <v>5025.6930427930502</v>
      </c>
    </row>
    <row r="5" spans="1:16" x14ac:dyDescent="0.25">
      <c r="A5" t="s">
        <v>67</v>
      </c>
      <c r="B5" t="s">
        <v>69</v>
      </c>
      <c r="C5">
        <v>1</v>
      </c>
      <c r="D5" t="s">
        <v>107</v>
      </c>
      <c r="E5" t="s">
        <v>108</v>
      </c>
      <c r="F5" t="s">
        <v>104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ProjectAll Entities.TranCostTran CostSystem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s="3" cm="1">
        <f t="array" ref="L5">IFERROR(_xlfn.STDEV.S(IF((OutputTable[GroupByKey]=OutputTable[[#This Row],[GroupByKey]]),(OutputTable[GroupByKey]=OutputTable[[#This Row],[GroupByKey]])*OutputTable[RecordedValue])),0)</f>
        <v>0</v>
      </c>
      <c r="M5" s="3" cm="1">
        <f t="array" ref="M5">MAX(IF((ProjectInfoTable[ProjectName]=OutputTable[[#This Row],[ProjectName]]),(ProjectInfoTable[ProjectName]=OutputTable[[#This Row],[ProjectName]])*ProjectInfoTable[ConfidenceInterval]))</f>
        <v>0.95</v>
      </c>
      <c r="N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s="3" cm="1">
        <f t="array" ref="O5">MIN(IF((OutputTable[GroupByKey]=OutputTable[[#This Row],[GroupByKey]]),(OutputTable[GroupByKey]=OutputTable[[#This Row],[GroupByKey]])*OutputTable[RecordedValue]))</f>
        <v>0</v>
      </c>
      <c r="P5" s="3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67</v>
      </c>
      <c r="B6" t="s">
        <v>69</v>
      </c>
      <c r="C6">
        <v>1</v>
      </c>
      <c r="D6" t="s">
        <v>109</v>
      </c>
      <c r="E6" t="s">
        <v>92</v>
      </c>
      <c r="F6" t="s">
        <v>104</v>
      </c>
      <c r="G6">
        <v>5025.6930427930502</v>
      </c>
      <c r="H6">
        <v>0</v>
      </c>
      <c r="I6" t="str">
        <f>OutputTable[[#This Row],[ProjectName]]&amp;OutputTable[[#This Row],[Name]]&amp;OutputTable[[#This Row],[Type]]&amp;OutputTable[[#This Row],[Source]]</f>
        <v>Unnamed ProjectAll Entities.VACostVA CostSystem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5025.6930427930502</v>
      </c>
      <c r="L6" s="3" cm="1">
        <f t="array" ref="L6">IFERROR(_xlfn.STDEV.S(IF((OutputTable[GroupByKey]=OutputTable[[#This Row],[GroupByKey]]),(OutputTable[GroupByKey]=OutputTable[[#This Row],[GroupByKey]])*OutputTable[RecordedValue])),0)</f>
        <v>0</v>
      </c>
      <c r="M6" s="3" cm="1">
        <f t="array" ref="M6">MAX(IF((ProjectInfoTable[ProjectName]=OutputTable[[#This Row],[ProjectName]]),(ProjectInfoTable[ProjectName]=OutputTable[[#This Row],[ProjectName]])*ProjectInfoTable[ConfidenceInterval]))</f>
        <v>0.95</v>
      </c>
      <c r="N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s="3" cm="1">
        <f t="array" ref="O6">MIN(IF((OutputTable[GroupByKey]=OutputTable[[#This Row],[GroupByKey]]),(OutputTable[GroupByKey]=OutputTable[[#This Row],[GroupByKey]])*OutputTable[RecordedValue]))</f>
        <v>5025.6930427930502</v>
      </c>
      <c r="P6" s="3" cm="1">
        <f t="array" ref="P6">MAX(IF((OutputTable[GroupByKey]=OutputTable[[#This Row],[GroupByKey]]),(OutputTable[GroupByKey]=OutputTable[[#This Row],[GroupByKey]])*OutputTable[RecordedValue]))</f>
        <v>5025.6930427930502</v>
      </c>
    </row>
    <row r="7" spans="1:16" x14ac:dyDescent="0.25">
      <c r="A7" t="s">
        <v>67</v>
      </c>
      <c r="B7" t="s">
        <v>69</v>
      </c>
      <c r="C7">
        <v>1</v>
      </c>
      <c r="D7" t="s">
        <v>110</v>
      </c>
      <c r="E7" t="s">
        <v>94</v>
      </c>
      <c r="F7" t="s">
        <v>104</v>
      </c>
      <c r="G7">
        <v>0</v>
      </c>
      <c r="H7">
        <v>0</v>
      </c>
      <c r="I7" t="str">
        <f>OutputTable[[#This Row],[ProjectName]]&amp;OutputTable[[#This Row],[Name]]&amp;OutputTable[[#This Row],[Type]]&amp;OutputTable[[#This Row],[Source]]</f>
        <v>Unnamed ProjectAll Entities.WaitCostWait CostSystem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</v>
      </c>
      <c r="L7" s="3" cm="1">
        <f t="array" ref="L7">IFERROR(_xlfn.STDEV.S(IF((OutputTable[GroupByKey]=OutputTable[[#This Row],[GroupByKey]]),(OutputTable[GroupByKey]=OutputTable[[#This Row],[GroupByKey]])*OutputTable[RecordedValue])),0)</f>
        <v>0</v>
      </c>
      <c r="M7" s="3" cm="1">
        <f t="array" ref="M7">MAX(IF((ProjectInfoTable[ProjectName]=OutputTable[[#This Row],[ProjectName]]),(ProjectInfoTable[ProjectName]=OutputTable[[#This Row],[ProjectName]])*ProjectInfoTable[ConfidenceInterval]))</f>
        <v>0.95</v>
      </c>
      <c r="N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s="3" cm="1">
        <f t="array" ref="O7">MIN(IF((OutputTable[GroupByKey]=OutputTable[[#This Row],[GroupByKey]]),(OutputTable[GroupByKey]=OutputTable[[#This Row],[GroupByKey]])*OutputTable[RecordedValue]))</f>
        <v>0</v>
      </c>
      <c r="P7" s="3" cm="1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25">
      <c r="A8" t="s">
        <v>67</v>
      </c>
      <c r="B8" t="s">
        <v>69</v>
      </c>
      <c r="C8">
        <v>1</v>
      </c>
      <c r="D8" t="s">
        <v>111</v>
      </c>
      <c r="E8" t="s">
        <v>112</v>
      </c>
      <c r="F8" t="s">
        <v>104</v>
      </c>
      <c r="G8">
        <v>5025.6930427930502</v>
      </c>
      <c r="H8">
        <v>0</v>
      </c>
      <c r="I8" t="str">
        <f>OutputTable[[#This Row],[ProjectName]]&amp;OutputTable[[#This Row],[Name]]&amp;OutputTable[[#This Row],[Type]]&amp;OutputTable[[#This Row],[Source]]</f>
        <v>Unnamed ProjectAll Resources.BusyCostBusy CostSystem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5025.6930427930502</v>
      </c>
      <c r="L8" s="3" cm="1">
        <f t="array" ref="L8">IFERROR(_xlfn.STDEV.S(IF((OutputTable[GroupByKey]=OutputTable[[#This Row],[GroupByKey]]),(OutputTable[GroupByKey]=OutputTable[[#This Row],[GroupByKey]])*OutputTable[RecordedValue])),0)</f>
        <v>0</v>
      </c>
      <c r="M8" s="3" cm="1">
        <f t="array" ref="M8">MAX(IF((ProjectInfoTable[ProjectName]=OutputTable[[#This Row],[ProjectName]]),(ProjectInfoTable[ProjectName]=OutputTable[[#This Row],[ProjectName]])*ProjectInfoTable[ConfidenceInterval]))</f>
        <v>0.95</v>
      </c>
      <c r="N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s="3" cm="1">
        <f t="array" ref="O8">MIN(IF((OutputTable[GroupByKey]=OutputTable[[#This Row],[GroupByKey]]),(OutputTable[GroupByKey]=OutputTable[[#This Row],[GroupByKey]])*OutputTable[RecordedValue]))</f>
        <v>5025.6930427930502</v>
      </c>
      <c r="P8" s="3" cm="1">
        <f t="array" ref="P8">MAX(IF((OutputTable[GroupByKey]=OutputTable[[#This Row],[GroupByKey]]),(OutputTable[GroupByKey]=OutputTable[[#This Row],[GroupByKey]])*OutputTable[RecordedValue]))</f>
        <v>5025.6930427930502</v>
      </c>
    </row>
    <row r="9" spans="1:16" x14ac:dyDescent="0.25">
      <c r="A9" t="s">
        <v>67</v>
      </c>
      <c r="B9" t="s">
        <v>69</v>
      </c>
      <c r="C9">
        <v>1</v>
      </c>
      <c r="D9" t="s">
        <v>113</v>
      </c>
      <c r="E9" t="s">
        <v>114</v>
      </c>
      <c r="F9" t="s">
        <v>104</v>
      </c>
      <c r="G9">
        <v>733.94431110540302</v>
      </c>
      <c r="H9">
        <v>0</v>
      </c>
      <c r="I9" t="str">
        <f>OutputTable[[#This Row],[ProjectName]]&amp;OutputTable[[#This Row],[Name]]&amp;OutputTable[[#This Row],[Type]]&amp;OutputTable[[#This Row],[Source]]</f>
        <v>Unnamed ProjectAll Resources.IdleCostIdle CostSystem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733.94431110540302</v>
      </c>
      <c r="L9" s="3" cm="1">
        <f t="array" ref="L9">IFERROR(_xlfn.STDEV.S(IF((OutputTable[GroupByKey]=OutputTable[[#This Row],[GroupByKey]]),(OutputTable[GroupByKey]=OutputTable[[#This Row],[GroupByKey]])*OutputTable[RecordedValue])),0)</f>
        <v>0</v>
      </c>
      <c r="M9" s="3" cm="1">
        <f t="array" ref="M9">MAX(IF((ProjectInfoTable[ProjectName]=OutputTable[[#This Row],[ProjectName]]),(ProjectInfoTable[ProjectName]=OutputTable[[#This Row],[ProjectName]])*ProjectInfoTable[ConfidenceInterval]))</f>
        <v>0.95</v>
      </c>
      <c r="N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s="3" cm="1">
        <f t="array" ref="O9">MIN(IF((OutputTable[GroupByKey]=OutputTable[[#This Row],[GroupByKey]]),(OutputTable[GroupByKey]=OutputTable[[#This Row],[GroupByKey]])*OutputTable[RecordedValue]))</f>
        <v>733.94431110540302</v>
      </c>
      <c r="P9" s="3" cm="1">
        <f t="array" ref="P9">MAX(IF((OutputTable[GroupByKey]=OutputTable[[#This Row],[GroupByKey]]),(OutputTable[GroupByKey]=OutputTable[[#This Row],[GroupByKey]])*OutputTable[RecordedValue]))</f>
        <v>733.94431110540302</v>
      </c>
    </row>
    <row r="10" spans="1:16" x14ac:dyDescent="0.25">
      <c r="A10" t="s">
        <v>67</v>
      </c>
      <c r="B10" t="s">
        <v>69</v>
      </c>
      <c r="C10">
        <v>1</v>
      </c>
      <c r="D10" t="s">
        <v>115</v>
      </c>
      <c r="E10" t="s">
        <v>88</v>
      </c>
      <c r="F10" t="s">
        <v>104</v>
      </c>
      <c r="G10">
        <v>5759.6373538984499</v>
      </c>
      <c r="H10">
        <v>0</v>
      </c>
      <c r="I10" t="str">
        <f>OutputTable[[#This Row],[ProjectName]]&amp;OutputTable[[#This Row],[Name]]&amp;OutputTable[[#This Row],[Type]]&amp;OutputTable[[#This Row],[Source]]</f>
        <v>Unnamed ProjectAll Resources.TotalCostTotal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5759.6373538984499</v>
      </c>
      <c r="L10" s="3" cm="1">
        <f t="array" ref="L10">IFERROR(_xlfn.STDEV.S(IF((OutputTable[GroupByKey]=OutputTable[[#This Row],[GroupByKey]]),(OutputTable[GroupByKey]=OutputTable[[#This Row],[GroupByKey]])*OutputTable[RecordedValue])),0)</f>
        <v>0</v>
      </c>
      <c r="M10" s="3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s="3" cm="1">
        <f t="array" ref="O10">MIN(IF((OutputTable[GroupByKey]=OutputTable[[#This Row],[GroupByKey]]),(OutputTable[GroupByKey]=OutputTable[[#This Row],[GroupByKey]])*OutputTable[RecordedValue]))</f>
        <v>5759.6373538984499</v>
      </c>
      <c r="P10" s="3" cm="1">
        <f t="array" ref="P10">MAX(IF((OutputTable[GroupByKey]=OutputTable[[#This Row],[GroupByKey]]),(OutputTable[GroupByKey]=OutputTable[[#This Row],[GroupByKey]])*OutputTable[RecordedValue]))</f>
        <v>5759.6373538984499</v>
      </c>
    </row>
    <row r="11" spans="1:16" x14ac:dyDescent="0.25">
      <c r="A11" t="s">
        <v>67</v>
      </c>
      <c r="B11" t="s">
        <v>69</v>
      </c>
      <c r="C11">
        <v>1</v>
      </c>
      <c r="D11" t="s">
        <v>116</v>
      </c>
      <c r="E11" t="s">
        <v>117</v>
      </c>
      <c r="F11" t="s">
        <v>104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Unnamed ProjectAll Resources.UsageCostUsage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s="3" cm="1">
        <f t="array" ref="L11">IFERROR(_xlfn.STDEV.S(IF((OutputTable[GroupByKey]=OutputTable[[#This Row],[GroupByKey]]),(OutputTable[GroupByKey]=OutputTable[[#This Row],[GroupByKey]])*OutputTable[RecordedValue])),0)</f>
        <v>0</v>
      </c>
      <c r="M11" s="3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s="3" cm="1">
        <f t="array" ref="O11">MIN(IF((OutputTable[GroupByKey]=OutputTable[[#This Row],[GroupByKey]]),(OutputTable[GroupByKey]=OutputTable[[#This Row],[GroupByKey]])*OutputTable[RecordedValue]))</f>
        <v>0</v>
      </c>
      <c r="P11" s="3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67</v>
      </c>
      <c r="B12" t="s">
        <v>69</v>
      </c>
      <c r="C12">
        <v>1</v>
      </c>
      <c r="D12" t="s">
        <v>118</v>
      </c>
      <c r="E12" t="s">
        <v>119</v>
      </c>
      <c r="F12" t="s">
        <v>72</v>
      </c>
      <c r="G12">
        <v>5025.6930427930502</v>
      </c>
      <c r="H12">
        <v>0</v>
      </c>
      <c r="I12" t="str">
        <f>OutputTable[[#This Row],[ProjectName]]&amp;OutputTable[[#This Row],[Name]]&amp;OutputTable[[#This Row],[Type]]&amp;OutputTable[[#This Row],[Source]]</f>
        <v>Unnamed ProjectCheck for Proper Identification Accum VA CostAccum VA CostProcess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5025.6930427930502</v>
      </c>
      <c r="L12" s="3" cm="1">
        <f t="array" ref="L12">IFERROR(_xlfn.STDEV.S(IF((OutputTable[GroupByKey]=OutputTable[[#This Row],[GroupByKey]]),(OutputTable[GroupByKey]=OutputTable[[#This Row],[GroupByKey]])*OutputTable[RecordedValue])),0)</f>
        <v>0</v>
      </c>
      <c r="M12" s="3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s="3" cm="1">
        <f t="array" ref="O12">MIN(IF((OutputTable[GroupByKey]=OutputTable[[#This Row],[GroupByKey]]),(OutputTable[GroupByKey]=OutputTable[[#This Row],[GroupByKey]])*OutputTable[RecordedValue]))</f>
        <v>5025.6930427930502</v>
      </c>
      <c r="P12" s="3" cm="1">
        <f t="array" ref="P12">MAX(IF((OutputTable[GroupByKey]=OutputTable[[#This Row],[GroupByKey]]),(OutputTable[GroupByKey]=OutputTable[[#This Row],[GroupByKey]])*OutputTable[RecordedValue]))</f>
        <v>5025.6930427930502</v>
      </c>
    </row>
    <row r="13" spans="1:16" x14ac:dyDescent="0.25">
      <c r="A13" t="s">
        <v>67</v>
      </c>
      <c r="B13" t="s">
        <v>69</v>
      </c>
      <c r="C13">
        <v>1</v>
      </c>
      <c r="D13" t="s">
        <v>120</v>
      </c>
      <c r="E13" t="s">
        <v>121</v>
      </c>
      <c r="F13" t="s">
        <v>72</v>
      </c>
      <c r="G13">
        <v>25128.465213965301</v>
      </c>
      <c r="H13">
        <v>0</v>
      </c>
      <c r="I13" t="str">
        <f>OutputTable[[#This Row],[ProjectName]]&amp;OutputTable[[#This Row],[Name]]&amp;OutputTable[[#This Row],[Type]]&amp;OutputTable[[#This Row],[Source]]</f>
        <v>Unnamed ProjectCheck for Proper Identification Accum VA TimeAccum VA TimeProcess</v>
      </c>
      <c r="J13" cm="1">
        <f t="array" ref="J13">MAX(IF((ProjectInfoTable[ProjectName]=OutputTable[[#This Row],[ProjectName]]),(ProjectInfoTable[ProjectName]=OutputTable[[#This Row],[ProjectName]])*ProjectInfoTable[NumberOfReplications]))</f>
        <v>1</v>
      </c>
      <c r="K13" cm="1">
        <f t="array" ref="K13">IFERROR(AVERAGE(IF((OutputTable[GroupByKey]=OutputTable[[#This Row],[GroupByKey]]),(OutputTable[GroupByKey]=OutputTable[[#This Row],[GroupByKey]])*OutputTable[RecordedValue])),0)</f>
        <v>25128.465213965301</v>
      </c>
      <c r="L13" s="3" cm="1">
        <f t="array" ref="L13">IFERROR(_xlfn.STDEV.S(IF((OutputTable[GroupByKey]=OutputTable[[#This Row],[GroupByKey]]),(OutputTable[GroupByKey]=OutputTable[[#This Row],[GroupByKey]])*OutputTable[RecordedValue])),0)</f>
        <v>0</v>
      </c>
      <c r="M13" s="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s="3" cm="1">
        <f t="array" ref="O13">MIN(IF((OutputTable[GroupByKey]=OutputTable[[#This Row],[GroupByKey]]),(OutputTable[GroupByKey]=OutputTable[[#This Row],[GroupByKey]])*OutputTable[RecordedValue]))</f>
        <v>25128.465213965301</v>
      </c>
      <c r="P13" s="3" cm="1">
        <f t="array" ref="P13">MAX(IF((OutputTable[GroupByKey]=OutputTable[[#This Row],[GroupByKey]]),(OutputTable[GroupByKey]=OutputTable[[#This Row],[GroupByKey]])*OutputTable[RecordedValue]))</f>
        <v>25128.465213965301</v>
      </c>
    </row>
    <row r="14" spans="1:16" x14ac:dyDescent="0.25">
      <c r="A14" t="s">
        <v>67</v>
      </c>
      <c r="B14" t="s">
        <v>69</v>
      </c>
      <c r="C14">
        <v>1</v>
      </c>
      <c r="D14" t="s">
        <v>122</v>
      </c>
      <c r="E14" t="s">
        <v>123</v>
      </c>
      <c r="F14" t="s">
        <v>72</v>
      </c>
      <c r="G14">
        <v>0</v>
      </c>
      <c r="H14">
        <v>0</v>
      </c>
      <c r="I14" t="str">
        <f>OutputTable[[#This Row],[ProjectName]]&amp;OutputTable[[#This Row],[Name]]&amp;OutputTable[[#This Row],[Type]]&amp;OutputTable[[#This Row],[Source]]</f>
        <v>Unnamed ProjectCheck for Proper Identification Accum Wait CostAccum Wait CostProcess</v>
      </c>
      <c r="J14" cm="1">
        <f t="array" ref="J14">MAX(IF((ProjectInfoTable[ProjectName]=OutputTable[[#This Row],[ProjectName]]),(ProjectInfoTable[ProjectName]=OutputTable[[#This Row],[ProjectName]])*ProjectInfoTable[NumberOfReplications]))</f>
        <v>1</v>
      </c>
      <c r="K14" cm="1">
        <f t="array" ref="K14">IFERROR(AVERAGE(IF((OutputTable[GroupByKey]=OutputTable[[#This Row],[GroupByKey]]),(OutputTable[GroupByKey]=OutputTable[[#This Row],[GroupByKey]])*OutputTable[RecordedValue])),0)</f>
        <v>0</v>
      </c>
      <c r="L14" s="3" cm="1">
        <f t="array" ref="L14">IFERROR(_xlfn.STDEV.S(IF((OutputTable[GroupByKey]=OutputTable[[#This Row],[GroupByKey]]),(OutputTable[GroupByKey]=OutputTable[[#This Row],[GroupByKey]])*OutputTable[RecordedValue])),0)</f>
        <v>0</v>
      </c>
      <c r="M14" s="3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s="3" cm="1">
        <f t="array" ref="O14">MIN(IF((OutputTable[GroupByKey]=OutputTable[[#This Row],[GroupByKey]]),(OutputTable[GroupByKey]=OutputTable[[#This Row],[GroupByKey]])*OutputTable[RecordedValue]))</f>
        <v>0</v>
      </c>
      <c r="P14" s="3" cm="1">
        <f t="array" ref="P14">MAX(IF((OutputTable[GroupByKey]=OutputTable[[#This Row],[GroupByKey]]),(OutputTable[GroupByKey]=OutputTable[[#This Row],[GroupByKey]])*OutputTable[RecordedValue]))</f>
        <v>0</v>
      </c>
    </row>
    <row r="15" spans="1:16" x14ac:dyDescent="0.25">
      <c r="A15" t="s">
        <v>67</v>
      </c>
      <c r="B15" t="s">
        <v>69</v>
      </c>
      <c r="C15">
        <v>1</v>
      </c>
      <c r="D15" t="s">
        <v>124</v>
      </c>
      <c r="E15" t="s">
        <v>125</v>
      </c>
      <c r="F15" t="s">
        <v>72</v>
      </c>
      <c r="G15">
        <v>91831.963415101607</v>
      </c>
      <c r="H15">
        <v>0</v>
      </c>
      <c r="I15" t="str">
        <f>OutputTable[[#This Row],[ProjectName]]&amp;OutputTable[[#This Row],[Name]]&amp;OutputTable[[#This Row],[Type]]&amp;OutputTable[[#This Row],[Source]]</f>
        <v>Unnamed ProjectCheck for Proper Identification Accum Wait TimeAccum Wait TimeProcess</v>
      </c>
      <c r="J15" cm="1">
        <f t="array" ref="J15">MAX(IF((ProjectInfoTable[ProjectName]=OutputTable[[#This Row],[ProjectName]]),(ProjectInfoTable[ProjectName]=OutputTable[[#This Row],[ProjectName]])*ProjectInfoTable[NumberOfReplications]))</f>
        <v>1</v>
      </c>
      <c r="K15" cm="1">
        <f t="array" ref="K15">IFERROR(AVERAGE(IF((OutputTable[GroupByKey]=OutputTable[[#This Row],[GroupByKey]]),(OutputTable[GroupByKey]=OutputTable[[#This Row],[GroupByKey]])*OutputTable[RecordedValue])),0)</f>
        <v>91831.963415101607</v>
      </c>
      <c r="L15" s="3" cm="1">
        <f t="array" ref="L15">IFERROR(_xlfn.STDEV.S(IF((OutputTable[GroupByKey]=OutputTable[[#This Row],[GroupByKey]]),(OutputTable[GroupByKey]=OutputTable[[#This Row],[GroupByKey]])*OutputTable[RecordedValue])),0)</f>
        <v>0</v>
      </c>
      <c r="M15" s="3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 s="3" cm="1">
        <f t="array" ref="O15">MIN(IF((OutputTable[GroupByKey]=OutputTable[[#This Row],[GroupByKey]]),(OutputTable[GroupByKey]=OutputTable[[#This Row],[GroupByKey]])*OutputTable[RecordedValue]))</f>
        <v>91831.963415101607</v>
      </c>
      <c r="P15" s="3" cm="1">
        <f t="array" ref="P15">MAX(IF((OutputTable[GroupByKey]=OutputTable[[#This Row],[GroupByKey]]),(OutputTable[GroupByKey]=OutputTable[[#This Row],[GroupByKey]])*OutputTable[RecordedValue]))</f>
        <v>91831.963415101607</v>
      </c>
    </row>
    <row r="16" spans="1:16" x14ac:dyDescent="0.25">
      <c r="A16" t="s">
        <v>67</v>
      </c>
      <c r="B16" t="s">
        <v>69</v>
      </c>
      <c r="C16">
        <v>1</v>
      </c>
      <c r="D16" t="s">
        <v>126</v>
      </c>
      <c r="E16" t="s">
        <v>127</v>
      </c>
      <c r="F16" t="s">
        <v>72</v>
      </c>
      <c r="G16">
        <v>14313</v>
      </c>
      <c r="H16">
        <v>0</v>
      </c>
      <c r="I16" t="str">
        <f>OutputTable[[#This Row],[ProjectName]]&amp;OutputTable[[#This Row],[Name]]&amp;OutputTable[[#This Row],[Type]]&amp;OutputTable[[#This Row],[Source]]</f>
        <v>Unnamed ProjectCheck for Proper Identification Number InNumber InProcess</v>
      </c>
      <c r="J16" cm="1">
        <f t="array" ref="J16">MAX(IF((ProjectInfoTable[ProjectName]=OutputTable[[#This Row],[ProjectName]]),(ProjectInfoTable[ProjectName]=OutputTable[[#This Row],[ProjectName]])*ProjectInfoTable[NumberOfReplications]))</f>
        <v>1</v>
      </c>
      <c r="K16" cm="1">
        <f t="array" ref="K16">IFERROR(AVERAGE(IF((OutputTable[GroupByKey]=OutputTable[[#This Row],[GroupByKey]]),(OutputTable[GroupByKey]=OutputTable[[#This Row],[GroupByKey]])*OutputTable[RecordedValue])),0)</f>
        <v>14313</v>
      </c>
      <c r="L16" s="3" cm="1">
        <f t="array" ref="L16">IFERROR(_xlfn.STDEV.S(IF((OutputTable[GroupByKey]=OutputTable[[#This Row],[GroupByKey]]),(OutputTable[GroupByKey]=OutputTable[[#This Row],[GroupByKey]])*OutputTable[RecordedValue])),0)</f>
        <v>0</v>
      </c>
      <c r="M16" s="3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 s="3" cm="1">
        <f t="array" ref="O16">MIN(IF((OutputTable[GroupByKey]=OutputTable[[#This Row],[GroupByKey]]),(OutputTable[GroupByKey]=OutputTable[[#This Row],[GroupByKey]])*OutputTable[RecordedValue]))</f>
        <v>14313</v>
      </c>
      <c r="P16" s="3" cm="1">
        <f t="array" ref="P16">MAX(IF((OutputTable[GroupByKey]=OutputTable[[#This Row],[GroupByKey]]),(OutputTable[GroupByKey]=OutputTable[[#This Row],[GroupByKey]])*OutputTable[RecordedValue]))</f>
        <v>14313</v>
      </c>
    </row>
    <row r="17" spans="1:16" x14ac:dyDescent="0.25">
      <c r="A17" t="s">
        <v>67</v>
      </c>
      <c r="B17" t="s">
        <v>69</v>
      </c>
      <c r="C17">
        <v>1</v>
      </c>
      <c r="D17" t="s">
        <v>128</v>
      </c>
      <c r="E17" t="s">
        <v>129</v>
      </c>
      <c r="F17" t="s">
        <v>72</v>
      </c>
      <c r="G17">
        <v>14311</v>
      </c>
      <c r="H17">
        <v>0</v>
      </c>
      <c r="I17" t="str">
        <f>OutputTable[[#This Row],[ProjectName]]&amp;OutputTable[[#This Row],[Name]]&amp;OutputTable[[#This Row],[Type]]&amp;OutputTable[[#This Row],[Source]]</f>
        <v>Unnamed ProjectCheck for Proper Identification Number OutNumber OutProcess</v>
      </c>
      <c r="J17" cm="1">
        <f t="array" ref="J17">MAX(IF((ProjectInfoTable[ProjectName]=OutputTable[[#This Row],[ProjectName]]),(ProjectInfoTable[ProjectName]=OutputTable[[#This Row],[ProjectName]])*ProjectInfoTable[NumberOfReplications]))</f>
        <v>1</v>
      </c>
      <c r="K17" cm="1">
        <f t="array" ref="K17">IFERROR(AVERAGE(IF((OutputTable[GroupByKey]=OutputTable[[#This Row],[GroupByKey]]),(OutputTable[GroupByKey]=OutputTable[[#This Row],[GroupByKey]])*OutputTable[RecordedValue])),0)</f>
        <v>14311</v>
      </c>
      <c r="L17" s="3" cm="1">
        <f t="array" ref="L17">IFERROR(_xlfn.STDEV.S(IF((OutputTable[GroupByKey]=OutputTable[[#This Row],[GroupByKey]]),(OutputTable[GroupByKey]=OutputTable[[#This Row],[GroupByKey]])*OutputTable[RecordedValue])),0)</f>
        <v>0</v>
      </c>
      <c r="M17" s="3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 s="3" cm="1">
        <f t="array" ref="O17">MIN(IF((OutputTable[GroupByKey]=OutputTable[[#This Row],[GroupByKey]]),(OutputTable[GroupByKey]=OutputTable[[#This Row],[GroupByKey]])*OutputTable[RecordedValue]))</f>
        <v>14311</v>
      </c>
      <c r="P17" s="3" cm="1">
        <f t="array" ref="P17">MAX(IF((OutputTable[GroupByKey]=OutputTable[[#This Row],[GroupByKey]]),(OutputTable[GroupByKey]=OutputTable[[#This Row],[GroupByKey]])*OutputTable[RecordedValue]))</f>
        <v>14311</v>
      </c>
    </row>
    <row r="18" spans="1:16" x14ac:dyDescent="0.25">
      <c r="A18" t="s">
        <v>67</v>
      </c>
      <c r="B18" t="s">
        <v>69</v>
      </c>
      <c r="C18">
        <v>1</v>
      </c>
      <c r="D18" t="s">
        <v>130</v>
      </c>
      <c r="E18" t="s">
        <v>131</v>
      </c>
      <c r="F18" t="s">
        <v>72</v>
      </c>
      <c r="G18">
        <v>5025.6930427930502</v>
      </c>
      <c r="H18">
        <v>0</v>
      </c>
      <c r="I18" t="str">
        <f>OutputTable[[#This Row],[ProjectName]]&amp;OutputTable[[#This Row],[Name]]&amp;OutputTable[[#This Row],[Type]]&amp;OutputTable[[#This Row],[Source]]</f>
        <v>Unnamed ProjectCheck for Proper Identification Total Accum CostTotal Accum CostProcess</v>
      </c>
      <c r="J18" cm="1">
        <f t="array" ref="J18">MAX(IF((ProjectInfoTable[ProjectName]=OutputTable[[#This Row],[ProjectName]]),(ProjectInfoTable[ProjectName]=OutputTable[[#This Row],[ProjectName]])*ProjectInfoTable[NumberOfReplications]))</f>
        <v>1</v>
      </c>
      <c r="K18" cm="1">
        <f t="array" ref="K18">IFERROR(AVERAGE(IF((OutputTable[GroupByKey]=OutputTable[[#This Row],[GroupByKey]]),(OutputTable[GroupByKey]=OutputTable[[#This Row],[GroupByKey]])*OutputTable[RecordedValue])),0)</f>
        <v>5025.6930427930502</v>
      </c>
      <c r="L18" s="3" cm="1">
        <f t="array" ref="L18">IFERROR(_xlfn.STDEV.S(IF((OutputTable[GroupByKey]=OutputTable[[#This Row],[GroupByKey]]),(OutputTable[GroupByKey]=OutputTable[[#This Row],[GroupByKey]])*OutputTable[RecordedValue])),0)</f>
        <v>0</v>
      </c>
      <c r="M18" s="3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" s="3" cm="1">
        <f t="array" ref="O18">MIN(IF((OutputTable[GroupByKey]=OutputTable[[#This Row],[GroupByKey]]),(OutputTable[GroupByKey]=OutputTable[[#This Row],[GroupByKey]])*OutputTable[RecordedValue]))</f>
        <v>5025.6930427930502</v>
      </c>
      <c r="P18" s="3" cm="1">
        <f t="array" ref="P18">MAX(IF((OutputTable[GroupByKey]=OutputTable[[#This Row],[GroupByKey]]),(OutputTable[GroupByKey]=OutputTable[[#This Row],[GroupByKey]])*OutputTable[RecordedValue]))</f>
        <v>5025.6930427930502</v>
      </c>
    </row>
    <row r="19" spans="1:16" x14ac:dyDescent="0.25">
      <c r="A19" t="s">
        <v>67</v>
      </c>
      <c r="B19" t="s">
        <v>69</v>
      </c>
      <c r="C19">
        <v>1</v>
      </c>
      <c r="D19" t="s">
        <v>132</v>
      </c>
      <c r="E19" t="s">
        <v>133</v>
      </c>
      <c r="F19" t="s">
        <v>72</v>
      </c>
      <c r="G19">
        <v>116960.428629067</v>
      </c>
      <c r="H19">
        <v>0</v>
      </c>
      <c r="I19" t="str">
        <f>OutputTable[[#This Row],[ProjectName]]&amp;OutputTable[[#This Row],[Name]]&amp;OutputTable[[#This Row],[Type]]&amp;OutputTable[[#This Row],[Source]]</f>
        <v>Unnamed ProjectCheck for Proper Identification Total Accum TimeTotal Accum TimeProcess</v>
      </c>
      <c r="J19" cm="1">
        <f t="array" ref="J19">MAX(IF((ProjectInfoTable[ProjectName]=OutputTable[[#This Row],[ProjectName]]),(ProjectInfoTable[ProjectName]=OutputTable[[#This Row],[ProjectName]])*ProjectInfoTable[NumberOfReplications]))</f>
        <v>1</v>
      </c>
      <c r="K19" cm="1">
        <f t="array" ref="K19">IFERROR(AVERAGE(IF((OutputTable[GroupByKey]=OutputTable[[#This Row],[GroupByKey]]),(OutputTable[GroupByKey]=OutputTable[[#This Row],[GroupByKey]])*OutputTable[RecordedValue])),0)</f>
        <v>116960.428629067</v>
      </c>
      <c r="L19" s="3" cm="1">
        <f t="array" ref="L19">IFERROR(_xlfn.STDEV.S(IF((OutputTable[GroupByKey]=OutputTable[[#This Row],[GroupByKey]]),(OutputTable[GroupByKey]=OutputTable[[#This Row],[GroupByKey]])*OutputTable[RecordedValue])),0)</f>
        <v>0</v>
      </c>
      <c r="M19" s="3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" s="3" cm="1">
        <f t="array" ref="O19">MIN(IF((OutputTable[GroupByKey]=OutputTable[[#This Row],[GroupByKey]]),(OutputTable[GroupByKey]=OutputTable[[#This Row],[GroupByKey]])*OutputTable[RecordedValue]))</f>
        <v>116960.428629067</v>
      </c>
      <c r="P19" s="3" cm="1">
        <f t="array" ref="P19">MAX(IF((OutputTable[GroupByKey]=OutputTable[[#This Row],[GroupByKey]]),(OutputTable[GroupByKey]=OutputTable[[#This Row],[GroupByKey]])*OutputTable[RecordedValue]))</f>
        <v>116960.428629067</v>
      </c>
    </row>
    <row r="20" spans="1:16" x14ac:dyDescent="0.25">
      <c r="A20" t="s">
        <v>67</v>
      </c>
      <c r="B20" t="s">
        <v>69</v>
      </c>
      <c r="C20">
        <v>1</v>
      </c>
      <c r="D20" t="s">
        <v>134</v>
      </c>
      <c r="E20" t="s">
        <v>127</v>
      </c>
      <c r="F20" t="s">
        <v>84</v>
      </c>
      <c r="G20">
        <v>14313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ProjectPassengers.NumberInNumber InEntity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1</v>
      </c>
      <c r="K20" cm="1">
        <f t="array" ref="K20">IFERROR(AVERAGE(IF((OutputTable[GroupByKey]=OutputTable[[#This Row],[GroupByKey]]),(OutputTable[GroupByKey]=OutputTable[[#This Row],[GroupByKey]])*OutputTable[RecordedValue])),0)</f>
        <v>14313</v>
      </c>
      <c r="L20" s="3" cm="1">
        <f t="array" ref="L20">IFERROR(_xlfn.STDEV.S(IF((OutputTable[GroupByKey]=OutputTable[[#This Row],[GroupByKey]]),(OutputTable[GroupByKey]=OutputTable[[#This Row],[GroupByKey]])*OutputTable[RecordedValue])),0)</f>
        <v>0</v>
      </c>
      <c r="M20" s="3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" s="3" cm="1">
        <f t="array" ref="O20">MIN(IF((OutputTable[GroupByKey]=OutputTable[[#This Row],[GroupByKey]]),(OutputTable[GroupByKey]=OutputTable[[#This Row],[GroupByKey]])*OutputTable[RecordedValue]))</f>
        <v>14313</v>
      </c>
      <c r="P20" s="3" cm="1">
        <f t="array" ref="P20">MAX(IF((OutputTable[GroupByKey]=OutputTable[[#This Row],[GroupByKey]]),(OutputTable[GroupByKey]=OutputTable[[#This Row],[GroupByKey]])*OutputTable[RecordedValue]))</f>
        <v>14313</v>
      </c>
    </row>
    <row r="21" spans="1:16" x14ac:dyDescent="0.25">
      <c r="A21" t="s">
        <v>67</v>
      </c>
      <c r="B21" t="s">
        <v>69</v>
      </c>
      <c r="C21">
        <v>1</v>
      </c>
      <c r="D21" t="s">
        <v>135</v>
      </c>
      <c r="E21" t="s">
        <v>129</v>
      </c>
      <c r="F21" t="s">
        <v>84</v>
      </c>
      <c r="G21">
        <v>14311</v>
      </c>
      <c r="H21">
        <v>0</v>
      </c>
      <c r="I21" t="str">
        <f>OutputTable[[#This Row],[ProjectName]]&amp;OutputTable[[#This Row],[Name]]&amp;OutputTable[[#This Row],[Type]]&amp;OutputTable[[#This Row],[Source]]</f>
        <v>Unnamed ProjectPassengers.NumberOutNumber OutEntity</v>
      </c>
      <c r="J21" cm="1">
        <f t="array" ref="J21">MAX(IF((ProjectInfoTable[ProjectName]=OutputTable[[#This Row],[ProjectName]]),(ProjectInfoTable[ProjectName]=OutputTable[[#This Row],[ProjectName]])*ProjectInfoTable[NumberOfReplications]))</f>
        <v>1</v>
      </c>
      <c r="K21" cm="1">
        <f t="array" ref="K21">IFERROR(AVERAGE(IF((OutputTable[GroupByKey]=OutputTable[[#This Row],[GroupByKey]]),(OutputTable[GroupByKey]=OutputTable[[#This Row],[GroupByKey]])*OutputTable[RecordedValue])),0)</f>
        <v>14311</v>
      </c>
      <c r="L21" s="3" cm="1">
        <f t="array" ref="L21">IFERROR(_xlfn.STDEV.S(IF((OutputTable[GroupByKey]=OutputTable[[#This Row],[GroupByKey]]),(OutputTable[GroupByKey]=OutputTable[[#This Row],[GroupByKey]])*OutputTable[RecordedValue])),0)</f>
        <v>0</v>
      </c>
      <c r="M21" s="3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" s="3" cm="1">
        <f t="array" ref="O21">MIN(IF((OutputTable[GroupByKey]=OutputTable[[#This Row],[GroupByKey]]),(OutputTable[GroupByKey]=OutputTable[[#This Row],[GroupByKey]])*OutputTable[RecordedValue]))</f>
        <v>14311</v>
      </c>
      <c r="P21" s="3" cm="1">
        <f t="array" ref="P21">MAX(IF((OutputTable[GroupByKey]=OutputTable[[#This Row],[GroupByKey]]),(OutputTable[GroupByKey]=OutputTable[[#This Row],[GroupByKey]])*OutputTable[RecordedValue]))</f>
        <v>14311</v>
      </c>
    </row>
    <row r="22" spans="1:16" x14ac:dyDescent="0.25">
      <c r="A22" t="s">
        <v>67</v>
      </c>
      <c r="B22" t="s">
        <v>69</v>
      </c>
      <c r="C22">
        <v>1</v>
      </c>
      <c r="D22" t="s">
        <v>136</v>
      </c>
      <c r="E22" t="s">
        <v>129</v>
      </c>
      <c r="F22" t="s">
        <v>104</v>
      </c>
      <c r="G22">
        <v>14311</v>
      </c>
      <c r="H22">
        <v>0</v>
      </c>
      <c r="I22" t="str">
        <f>OutputTable[[#This Row],[ProjectName]]&amp;OutputTable[[#This Row],[Name]]&amp;OutputTable[[#This Row],[Type]]&amp;OutputTable[[#This Row],[Source]]</f>
        <v>Unnamed ProjectSystem.NumberOutNumber OutSystem</v>
      </c>
      <c r="J22" cm="1">
        <f t="array" ref="J22">MAX(IF((ProjectInfoTable[ProjectName]=OutputTable[[#This Row],[ProjectName]]),(ProjectInfoTable[ProjectName]=OutputTable[[#This Row],[ProjectName]])*ProjectInfoTable[NumberOfReplications]))</f>
        <v>1</v>
      </c>
      <c r="K22" cm="1">
        <f t="array" ref="K22">IFERROR(AVERAGE(IF((OutputTable[GroupByKey]=OutputTable[[#This Row],[GroupByKey]]),(OutputTable[GroupByKey]=OutputTable[[#This Row],[GroupByKey]])*OutputTable[RecordedValue])),0)</f>
        <v>14311</v>
      </c>
      <c r="L22" s="3" cm="1">
        <f t="array" ref="L22">IFERROR(_xlfn.STDEV.S(IF((OutputTable[GroupByKey]=OutputTable[[#This Row],[GroupByKey]]),(OutputTable[GroupByKey]=OutputTable[[#This Row],[GroupByKey]])*OutputTable[RecordedValue])),0)</f>
        <v>0</v>
      </c>
      <c r="M22" s="3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2" s="3" cm="1">
        <f t="array" ref="O22">MIN(IF((OutputTable[GroupByKey]=OutputTable[[#This Row],[GroupByKey]]),(OutputTable[GroupByKey]=OutputTable[[#This Row],[GroupByKey]])*OutputTable[RecordedValue]))</f>
        <v>14311</v>
      </c>
      <c r="P22" s="3" cm="1">
        <f t="array" ref="P22">MAX(IF((OutputTable[GroupByKey]=OutputTable[[#This Row],[GroupByKey]]),(OutputTable[GroupByKey]=OutputTable[[#This Row],[GroupByKey]])*OutputTable[RecordedValue]))</f>
        <v>14311</v>
      </c>
    </row>
    <row r="23" spans="1:16" x14ac:dyDescent="0.25">
      <c r="A23" t="s">
        <v>67</v>
      </c>
      <c r="B23" t="s">
        <v>69</v>
      </c>
      <c r="C23">
        <v>1</v>
      </c>
      <c r="D23" t="s">
        <v>137</v>
      </c>
      <c r="E23" t="s">
        <v>88</v>
      </c>
      <c r="F23" t="s">
        <v>104</v>
      </c>
      <c r="G23">
        <v>5759.6373538984499</v>
      </c>
      <c r="H23">
        <v>0</v>
      </c>
      <c r="I23" t="str">
        <f>OutputTable[[#This Row],[ProjectName]]&amp;OutputTable[[#This Row],[Name]]&amp;OutputTable[[#This Row],[Type]]&amp;OutputTable[[#This Row],[Source]]</f>
        <v>Unnamed ProjectSystem.TotalCostTotal CostSystem</v>
      </c>
      <c r="J23" cm="1">
        <f t="array" ref="J23">MAX(IF((ProjectInfoTable[ProjectName]=OutputTable[[#This Row],[ProjectName]]),(ProjectInfoTable[ProjectName]=OutputTable[[#This Row],[ProjectName]])*ProjectInfoTable[NumberOfReplications]))</f>
        <v>1</v>
      </c>
      <c r="K23" cm="1">
        <f t="array" ref="K23">IFERROR(AVERAGE(IF((OutputTable[GroupByKey]=OutputTable[[#This Row],[GroupByKey]]),(OutputTable[GroupByKey]=OutputTable[[#This Row],[GroupByKey]])*OutputTable[RecordedValue])),0)</f>
        <v>5759.6373538984499</v>
      </c>
      <c r="L23" s="3" cm="1">
        <f t="array" ref="L23">IFERROR(_xlfn.STDEV.S(IF((OutputTable[GroupByKey]=OutputTable[[#This Row],[GroupByKey]]),(OutputTable[GroupByKey]=OutputTable[[#This Row],[GroupByKey]])*OutputTable[RecordedValue])),0)</f>
        <v>0</v>
      </c>
      <c r="M23" s="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3" s="3" cm="1">
        <f t="array" ref="O23">MIN(IF((OutputTable[GroupByKey]=OutputTable[[#This Row],[GroupByKey]]),(OutputTable[GroupByKey]=OutputTable[[#This Row],[GroupByKey]])*OutputTable[RecordedValue]))</f>
        <v>5759.6373538984499</v>
      </c>
      <c r="P23" s="3" cm="1">
        <f t="array" ref="P23">MAX(IF((OutputTable[GroupByKey]=OutputTable[[#This Row],[GroupByKey]]),(OutputTable[GroupByKey]=OutputTable[[#This Row],[GroupByKey]])*OutputTable[RecordedValue]))</f>
        <v>5759.6373538984499</v>
      </c>
    </row>
    <row r="24" spans="1:16" x14ac:dyDescent="0.25">
      <c r="A24" t="s">
        <v>67</v>
      </c>
      <c r="B24" t="s">
        <v>69</v>
      </c>
      <c r="C24">
        <v>1</v>
      </c>
      <c r="D24" t="s">
        <v>138</v>
      </c>
      <c r="E24" t="s">
        <v>112</v>
      </c>
      <c r="F24" t="s">
        <v>100</v>
      </c>
      <c r="G24">
        <v>5025.6930427930502</v>
      </c>
      <c r="H24">
        <v>0</v>
      </c>
      <c r="I24" t="str">
        <f>OutputTable[[#This Row],[ProjectName]]&amp;OutputTable[[#This Row],[Name]]&amp;OutputTable[[#This Row],[Type]]&amp;OutputTable[[#This Row],[Source]]</f>
        <v>Unnamed ProjectTransport Security Office.BusyCostBusy CostResource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</v>
      </c>
      <c r="K24" cm="1">
        <f t="array" ref="K24">IFERROR(AVERAGE(IF((OutputTable[GroupByKey]=OutputTable[[#This Row],[GroupByKey]]),(OutputTable[GroupByKey]=OutputTable[[#This Row],[GroupByKey]])*OutputTable[RecordedValue])),0)</f>
        <v>5025.6930427930502</v>
      </c>
      <c r="L24" s="3" cm="1">
        <f t="array" ref="L24">IFERROR(_xlfn.STDEV.S(IF((OutputTable[GroupByKey]=OutputTable[[#This Row],[GroupByKey]]),(OutputTable[GroupByKey]=OutputTable[[#This Row],[GroupByKey]])*OutputTable[RecordedValue])),0)</f>
        <v>0</v>
      </c>
      <c r="M24" s="3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4" s="3" cm="1">
        <f t="array" ref="O24">MIN(IF((OutputTable[GroupByKey]=OutputTable[[#This Row],[GroupByKey]]),(OutputTable[GroupByKey]=OutputTable[[#This Row],[GroupByKey]])*OutputTable[RecordedValue]))</f>
        <v>5025.6930427930502</v>
      </c>
      <c r="P24" s="3" cm="1">
        <f t="array" ref="P24">MAX(IF((OutputTable[GroupByKey]=OutputTable[[#This Row],[GroupByKey]]),(OutputTable[GroupByKey]=OutputTable[[#This Row],[GroupByKey]])*OutputTable[RecordedValue]))</f>
        <v>5025.6930427930502</v>
      </c>
    </row>
    <row r="25" spans="1:16" x14ac:dyDescent="0.25">
      <c r="A25" t="s">
        <v>67</v>
      </c>
      <c r="B25" t="s">
        <v>69</v>
      </c>
      <c r="C25">
        <v>1</v>
      </c>
      <c r="D25" t="s">
        <v>139</v>
      </c>
      <c r="E25" t="s">
        <v>114</v>
      </c>
      <c r="F25" t="s">
        <v>100</v>
      </c>
      <c r="G25">
        <v>733.94431110540302</v>
      </c>
      <c r="H25">
        <v>0</v>
      </c>
      <c r="I25" t="str">
        <f>OutputTable[[#This Row],[ProjectName]]&amp;OutputTable[[#This Row],[Name]]&amp;OutputTable[[#This Row],[Type]]&amp;OutputTable[[#This Row],[Source]]</f>
        <v>Unnamed ProjectTransport Security Office.IdleCostIdle CostResource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</v>
      </c>
      <c r="K25" cm="1">
        <f t="array" ref="K25">IFERROR(AVERAGE(IF((OutputTable[GroupByKey]=OutputTable[[#This Row],[GroupByKey]]),(OutputTable[GroupByKey]=OutputTable[[#This Row],[GroupByKey]])*OutputTable[RecordedValue])),0)</f>
        <v>733.94431110540302</v>
      </c>
      <c r="L25" s="3" cm="1">
        <f t="array" ref="L25">IFERROR(_xlfn.STDEV.S(IF((OutputTable[GroupByKey]=OutputTable[[#This Row],[GroupByKey]]),(OutputTable[GroupByKey]=OutputTable[[#This Row],[GroupByKey]])*OutputTable[RecordedValue])),0)</f>
        <v>0</v>
      </c>
      <c r="M25" s="3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5" s="3" cm="1">
        <f t="array" ref="O25">MIN(IF((OutputTable[GroupByKey]=OutputTable[[#This Row],[GroupByKey]]),(OutputTable[GroupByKey]=OutputTable[[#This Row],[GroupByKey]])*OutputTable[RecordedValue]))</f>
        <v>733.94431110540302</v>
      </c>
      <c r="P25" s="3" cm="1">
        <f t="array" ref="P25">MAX(IF((OutputTable[GroupByKey]=OutputTable[[#This Row],[GroupByKey]]),(OutputTable[GroupByKey]=OutputTable[[#This Row],[GroupByKey]])*OutputTable[RecordedValue]))</f>
        <v>733.94431110540302</v>
      </c>
    </row>
    <row r="26" spans="1:16" x14ac:dyDescent="0.25">
      <c r="A26" t="s">
        <v>67</v>
      </c>
      <c r="B26" t="s">
        <v>69</v>
      </c>
      <c r="C26">
        <v>1</v>
      </c>
      <c r="D26" t="s">
        <v>140</v>
      </c>
      <c r="E26" t="s">
        <v>141</v>
      </c>
      <c r="F26" t="s">
        <v>100</v>
      </c>
      <c r="G26">
        <v>14312</v>
      </c>
      <c r="H26">
        <v>0</v>
      </c>
      <c r="I26" t="str">
        <f>OutputTable[[#This Row],[ProjectName]]&amp;OutputTable[[#This Row],[Name]]&amp;OutputTable[[#This Row],[Type]]&amp;OutputTable[[#This Row],[Source]]</f>
        <v>Unnamed ProjectTransport Security Office.NumberSeizedTotal Number SeizedResource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1</v>
      </c>
      <c r="K26" cm="1">
        <f t="array" ref="K26">IFERROR(AVERAGE(IF((OutputTable[GroupByKey]=OutputTable[[#This Row],[GroupByKey]]),(OutputTable[GroupByKey]=OutputTable[[#This Row],[GroupByKey]])*OutputTable[RecordedValue])),0)</f>
        <v>14312</v>
      </c>
      <c r="L26" s="3" cm="1">
        <f t="array" ref="L26">IFERROR(_xlfn.STDEV.S(IF((OutputTable[GroupByKey]=OutputTable[[#This Row],[GroupByKey]]),(OutputTable[GroupByKey]=OutputTable[[#This Row],[GroupByKey]])*OutputTable[RecordedValue])),0)</f>
        <v>0</v>
      </c>
      <c r="M26" s="3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6" s="3" cm="1">
        <f t="array" ref="O26">MIN(IF((OutputTable[GroupByKey]=OutputTable[[#This Row],[GroupByKey]]),(OutputTable[GroupByKey]=OutputTable[[#This Row],[GroupByKey]])*OutputTable[RecordedValue]))</f>
        <v>14312</v>
      </c>
      <c r="P26" s="3" cm="1">
        <f t="array" ref="P26">MAX(IF((OutputTable[GroupByKey]=OutputTable[[#This Row],[GroupByKey]]),(OutputTable[GroupByKey]=OutputTable[[#This Row],[GroupByKey]])*OutputTable[RecordedValue]))</f>
        <v>14312</v>
      </c>
    </row>
    <row r="27" spans="1:16" x14ac:dyDescent="0.25">
      <c r="A27" t="s">
        <v>67</v>
      </c>
      <c r="B27" t="s">
        <v>69</v>
      </c>
      <c r="C27">
        <v>1</v>
      </c>
      <c r="D27" t="s">
        <v>142</v>
      </c>
      <c r="E27" t="s">
        <v>143</v>
      </c>
      <c r="F27" t="s">
        <v>100</v>
      </c>
      <c r="G27">
        <v>0.87257911265531496</v>
      </c>
      <c r="H27">
        <v>0</v>
      </c>
      <c r="I27" t="str">
        <f>OutputTable[[#This Row],[ProjectName]]&amp;OutputTable[[#This Row],[Name]]&amp;OutputTable[[#This Row],[Type]]&amp;OutputTable[[#This Row],[Source]]</f>
        <v>Unnamed ProjectTransport Security Office.ScheduledUtilizationScheduled UtilizationResource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1</v>
      </c>
      <c r="K27" cm="1">
        <f t="array" ref="K27">IFERROR(AVERAGE(IF((OutputTable[GroupByKey]=OutputTable[[#This Row],[GroupByKey]]),(OutputTable[GroupByKey]=OutputTable[[#This Row],[GroupByKey]])*OutputTable[RecordedValue])),0)</f>
        <v>0.87257911265531496</v>
      </c>
      <c r="L27" s="3" cm="1">
        <f t="array" ref="L27">IFERROR(_xlfn.STDEV.S(IF((OutputTable[GroupByKey]=OutputTable[[#This Row],[GroupByKey]]),(OutputTable[GroupByKey]=OutputTable[[#This Row],[GroupByKey]])*OutputTable[RecordedValue])),0)</f>
        <v>0</v>
      </c>
      <c r="M27" s="3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7" s="3" cm="1">
        <f t="array" ref="O27">MIN(IF((OutputTable[GroupByKey]=OutputTable[[#This Row],[GroupByKey]]),(OutputTable[GroupByKey]=OutputTable[[#This Row],[GroupByKey]])*OutputTable[RecordedValue]))</f>
        <v>0.87257911265531496</v>
      </c>
      <c r="P27" s="3" cm="1">
        <f t="array" ref="P27">MAX(IF((OutputTable[GroupByKey]=OutputTable[[#This Row],[GroupByKey]]),(OutputTable[GroupByKey]=OutputTable[[#This Row],[GroupByKey]])*OutputTable[RecordedValue]))</f>
        <v>0.87257911265531496</v>
      </c>
    </row>
    <row r="28" spans="1:16" x14ac:dyDescent="0.25">
      <c r="A28" t="s">
        <v>67</v>
      </c>
      <c r="B28" t="s">
        <v>69</v>
      </c>
      <c r="C28">
        <v>1</v>
      </c>
      <c r="D28" t="s">
        <v>144</v>
      </c>
      <c r="E28" t="s">
        <v>117</v>
      </c>
      <c r="F28" t="s">
        <v>100</v>
      </c>
      <c r="G28">
        <v>0</v>
      </c>
      <c r="H28">
        <v>0</v>
      </c>
      <c r="I28" t="str">
        <f>OutputTable[[#This Row],[ProjectName]]&amp;OutputTable[[#This Row],[Name]]&amp;OutputTable[[#This Row],[Type]]&amp;OutputTable[[#This Row],[Source]]</f>
        <v>Unnamed ProjectTransport Security Office.UsageCostUsage CostResource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</v>
      </c>
      <c r="K28" cm="1">
        <f t="array" ref="K28">IFERROR(AVERAGE(IF((OutputTable[GroupByKey]=OutputTable[[#This Row],[GroupByKey]]),(OutputTable[GroupByKey]=OutputTable[[#This Row],[GroupByKey]])*OutputTable[RecordedValue])),0)</f>
        <v>0</v>
      </c>
      <c r="L28" s="3" cm="1">
        <f t="array" ref="L28">IFERROR(_xlfn.STDEV.S(IF((OutputTable[GroupByKey]=OutputTable[[#This Row],[GroupByKey]]),(OutputTable[GroupByKey]=OutputTable[[#This Row],[GroupByKey]])*OutputTable[RecordedValue])),0)</f>
        <v>0</v>
      </c>
      <c r="M28" s="3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8" s="3" cm="1">
        <f t="array" ref="O28">MIN(IF((OutputTable[GroupByKey]=OutputTable[[#This Row],[GroupByKey]]),(OutputTable[GroupByKey]=OutputTable[[#This Row],[GroupByKey]])*OutputTable[RecordedValue]))</f>
        <v>0</v>
      </c>
      <c r="P28" s="3" cm="1">
        <f t="array" ref="P28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28">
    <cfRule type="expression" dxfId="7" priority="2">
      <formula>MOD(ROW(),2)=0</formula>
    </cfRule>
  </conditionalFormatting>
  <conditionalFormatting sqref="N2:N28">
    <cfRule type="expression" dxfId="6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V45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22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s="3" t="s">
        <v>48</v>
      </c>
      <c r="N1" s="3" t="s">
        <v>60</v>
      </c>
      <c r="O1" s="3" t="s">
        <v>29</v>
      </c>
      <c r="P1" s="3" t="s">
        <v>34</v>
      </c>
      <c r="Q1" s="3"/>
      <c r="R1" s="3"/>
      <c r="S1" s="3"/>
      <c r="T1" s="3"/>
      <c r="U1" s="3"/>
      <c r="V1" s="3"/>
    </row>
    <row r="2" spans="1:22" x14ac:dyDescent="0.25">
      <c r="Q2" s="3"/>
      <c r="R2" s="3"/>
      <c r="S2" s="3"/>
      <c r="T2" s="3"/>
      <c r="U2" s="3"/>
      <c r="V2" s="3"/>
    </row>
    <row r="3" spans="1:22" x14ac:dyDescent="0.25">
      <c r="Q3" s="3"/>
      <c r="R3" s="3"/>
      <c r="S3" s="3"/>
      <c r="T3" s="3"/>
      <c r="U3" s="3"/>
      <c r="V3" s="3"/>
    </row>
    <row r="4" spans="1:22" x14ac:dyDescent="0.25">
      <c r="Q4" s="3"/>
      <c r="R4" s="3"/>
      <c r="S4" s="3"/>
      <c r="T4" s="3"/>
      <c r="U4" s="3"/>
      <c r="V4" s="3"/>
    </row>
    <row r="5" spans="1:22" x14ac:dyDescent="0.25">
      <c r="Q5" s="3"/>
      <c r="R5" s="3"/>
      <c r="S5" s="3"/>
      <c r="T5" s="3"/>
      <c r="U5" s="3"/>
      <c r="V5" s="3"/>
    </row>
    <row r="6" spans="1:22" x14ac:dyDescent="0.25">
      <c r="Q6" s="3"/>
      <c r="R6" s="3"/>
      <c r="S6" s="3"/>
      <c r="T6" s="3"/>
      <c r="U6" s="3"/>
      <c r="V6" s="3"/>
    </row>
    <row r="7" spans="1:22" x14ac:dyDescent="0.25">
      <c r="Q7" s="3"/>
      <c r="R7" s="3"/>
      <c r="S7" s="3"/>
      <c r="T7" s="3"/>
      <c r="U7" s="3"/>
      <c r="V7" s="3"/>
    </row>
    <row r="8" spans="1:22" x14ac:dyDescent="0.25">
      <c r="Q8" s="3"/>
      <c r="R8" s="3"/>
      <c r="S8" s="3"/>
      <c r="T8" s="3"/>
      <c r="U8" s="3"/>
      <c r="V8" s="3"/>
    </row>
    <row r="9" spans="1:22" x14ac:dyDescent="0.25">
      <c r="Q9" s="3"/>
      <c r="R9" s="3"/>
      <c r="S9" s="3"/>
      <c r="T9" s="3"/>
      <c r="U9" s="3"/>
      <c r="V9" s="3"/>
    </row>
    <row r="10" spans="1:22" x14ac:dyDescent="0.25">
      <c r="Q10" s="3"/>
      <c r="R10" s="3"/>
      <c r="S10" s="3"/>
      <c r="T10" s="3"/>
      <c r="U10" s="3"/>
      <c r="V10" s="3"/>
    </row>
    <row r="11" spans="1:22" x14ac:dyDescent="0.25">
      <c r="Q11" s="3"/>
      <c r="R11" s="3"/>
      <c r="S11" s="3"/>
      <c r="T11" s="3"/>
      <c r="U11" s="3"/>
      <c r="V11" s="3"/>
    </row>
    <row r="12" spans="1:22" x14ac:dyDescent="0.25">
      <c r="Q12" s="3"/>
      <c r="R12" s="3"/>
      <c r="S12" s="3"/>
      <c r="T12" s="3"/>
      <c r="U12" s="3"/>
      <c r="V12" s="3"/>
    </row>
    <row r="13" spans="1:22" x14ac:dyDescent="0.25">
      <c r="Q13" s="3"/>
      <c r="R13" s="3"/>
      <c r="S13" s="3"/>
      <c r="T13" s="3"/>
      <c r="U13" s="3"/>
      <c r="V13" s="3"/>
    </row>
    <row r="17" spans="2:22" x14ac:dyDescent="0.25">
      <c r="B17" s="5"/>
      <c r="M17" s="3"/>
      <c r="N17" s="3"/>
      <c r="O17" s="3"/>
      <c r="P17" s="3"/>
    </row>
    <row r="18" spans="2:22" x14ac:dyDescent="0.25">
      <c r="B18" s="5"/>
    </row>
    <row r="19" spans="2:22" x14ac:dyDescent="0.25">
      <c r="B19" s="5"/>
    </row>
    <row r="20" spans="2:22" x14ac:dyDescent="0.25">
      <c r="B20" s="5"/>
    </row>
    <row r="21" spans="2:22" x14ac:dyDescent="0.25">
      <c r="B21" s="5"/>
    </row>
    <row r="22" spans="2:22" x14ac:dyDescent="0.25">
      <c r="B22" s="5"/>
    </row>
    <row r="23" spans="2:22" x14ac:dyDescent="0.25">
      <c r="B23" s="5"/>
    </row>
    <row r="24" spans="2:22" x14ac:dyDescent="0.25">
      <c r="B24" s="5"/>
    </row>
    <row r="25" spans="2:22" x14ac:dyDescent="0.25">
      <c r="B25" s="5"/>
    </row>
    <row r="26" spans="2:22" x14ac:dyDescent="0.25">
      <c r="B26" s="5"/>
    </row>
    <row r="27" spans="2:22" x14ac:dyDescent="0.25">
      <c r="B27" s="5"/>
    </row>
    <row r="28" spans="2:22" x14ac:dyDescent="0.25">
      <c r="B28" s="5"/>
    </row>
    <row r="29" spans="2:22" x14ac:dyDescent="0.25">
      <c r="B29" s="5"/>
    </row>
    <row r="30" spans="2:22" x14ac:dyDescent="0.25">
      <c r="B30" s="5"/>
    </row>
    <row r="31" spans="2:22" x14ac:dyDescent="0.25">
      <c r="B31" s="5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45" spans="17:22" x14ac:dyDescent="0.25">
      <c r="Q45" s="3"/>
      <c r="R45" s="3"/>
      <c r="S45" s="3"/>
      <c r="T45" s="3"/>
      <c r="U45" s="3"/>
      <c r="V45" s="3"/>
    </row>
  </sheetData>
  <phoneticPr fontId="2" type="noConversion"/>
  <conditionalFormatting sqref="K1:P2 K17:P17 Q45:V45 K31:V31">
    <cfRule type="expression" dxfId="5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Edwin Alejandro Forero Gómez</cp:lastModifiedBy>
  <cp:lastPrinted>2022-03-22T10:33:10Z</cp:lastPrinted>
  <dcterms:created xsi:type="dcterms:W3CDTF">2020-06-29T21:30:31Z</dcterms:created>
  <dcterms:modified xsi:type="dcterms:W3CDTF">2023-03-30T00:25:34Z</dcterms:modified>
</cp:coreProperties>
</file>