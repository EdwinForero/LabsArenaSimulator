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GLAVAC\Dev\ArenaMainBranch\arenamain\Src\Arena\Reports\Arena\"/>
    </mc:Choice>
  </mc:AlternateContent>
  <xr:revisionPtr revIDLastSave="0" documentId="8_{F5015F95-E683-44CB-BA7D-FBDD96D7EADB}" xr6:coauthVersionLast="47" xr6:coauthVersionMax="47" xr10:uidLastSave="{00000000-0000-0000-0000-000000000000}"/>
  <bookViews>
    <workbookView xWindow="1500" yWindow="0" windowWidth="21288" windowHeight="1236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ContinuousTimeStatsByRep!$A$1:$L$181</definedName>
    <definedName name="ExternalData_1" localSheetId="4" hidden="1">CounterStatsByRep!$A$1:$G$11</definedName>
    <definedName name="ExternalData_1" localSheetId="2" hidden="1">DiscreteTimeStatsByRep!$A$1:$K$121</definedName>
    <definedName name="ExternalData_1" localSheetId="6" hidden="1">FrequencyStatsByRep!$A$1:$J$2</definedName>
    <definedName name="ExternalData_1" localSheetId="5" hidden="1">OutputStatsByRep!$A$1:$H$111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70" r:id="rId8"/>
    <pivotCache cacheId="76" r:id="rId9"/>
    <pivotCache cacheId="82" r:id="rId10"/>
    <pivotCache cacheId="88" r:id="rId11"/>
    <pivotCache cacheId="9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P2" i="20" s="1" a="1"/>
  <c r="P2" i="20" s="1"/>
  <c r="J2" i="20" a="1"/>
  <c r="J2" i="20" s="1"/>
  <c r="M2" i="20" a="1"/>
  <c r="M2" i="20" s="1"/>
  <c r="H2" i="19"/>
  <c r="O2" i="19" s="1" a="1"/>
  <c r="O2" i="19" s="1"/>
  <c r="I2" i="19" a="1"/>
  <c r="I2" i="19" s="1"/>
  <c r="L2" i="19" a="1"/>
  <c r="L2" i="19" s="1"/>
  <c r="M2" i="18"/>
  <c r="P2" i="18" s="1" a="1"/>
  <c r="P2" i="18" s="1"/>
  <c r="N2" i="18" a="1"/>
  <c r="N2" i="18" s="1"/>
  <c r="Q2" i="18" a="1"/>
  <c r="Q2" i="18" s="1"/>
  <c r="L2" i="17"/>
  <c r="S2" i="17" s="1" a="1"/>
  <c r="S2" i="17" s="1"/>
  <c r="M2" i="17" a="1"/>
  <c r="M2" i="17" s="1"/>
  <c r="P2" i="17" a="1"/>
  <c r="P2" i="17" s="1"/>
  <c r="G2" i="16"/>
  <c r="O2" i="20" l="1" a="1"/>
  <c r="O2" i="20" s="1"/>
  <c r="L2" i="20" a="1"/>
  <c r="L2" i="20" s="1"/>
  <c r="N2" i="20" s="1"/>
  <c r="N2" i="19" a="1"/>
  <c r="N2" i="19" s="1"/>
  <c r="K2" i="19" a="1"/>
  <c r="K2" i="19" s="1"/>
  <c r="M2" i="19" s="1"/>
  <c r="T2" i="18" a="1"/>
  <c r="T2" i="18" s="1"/>
  <c r="S2" i="18" a="1"/>
  <c r="S2" i="18" s="1"/>
  <c r="X2" i="17" a="1"/>
  <c r="X2" i="17" s="1"/>
  <c r="Y2" i="17" s="1"/>
  <c r="V2" i="17" a="1"/>
  <c r="V2" i="17" s="1"/>
  <c r="U2" i="17" a="1"/>
  <c r="U2" i="17" s="1"/>
  <c r="T2" i="17" a="1"/>
  <c r="T2" i="17" s="1"/>
  <c r="K2" i="20" a="1"/>
  <c r="K2" i="20" s="1"/>
  <c r="J2" i="19" a="1"/>
  <c r="J2" i="19" s="1"/>
  <c r="R2" i="18"/>
  <c r="U2" i="18" s="1"/>
  <c r="O2" i="18" a="1"/>
  <c r="O2" i="18" s="1"/>
  <c r="R2" i="17" a="1"/>
  <c r="R2" i="17" s="1"/>
  <c r="N2" i="17" a="1"/>
  <c r="N2" i="17" s="1"/>
  <c r="O2" i="17" a="1"/>
  <c r="O2" i="17" s="1"/>
  <c r="Q2" i="17" l="1"/>
  <c r="W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7" saveData="1">
    <dbPr connection="Driver={SQLite3 ODBC Driver};Database=c:\users\public\documents\rockwell software\arena\examples\general\assembly line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7" saveData="1">
    <dbPr connection="Driver={SQLite3 ODBC Driver};Database=c:\users\public\documents\rockwell software\arena\examples\general\assembly line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7" saveData="1">
    <dbPr connection="Driver={SQLite3 ODBC Driver};Database=c:\users\public\documents\rockwell software\arena\examples\general\assembly line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7" saveData="1">
    <dbPr connection="Driver={SQLite3 ODBC Driver};Database=c:\users\public\documents\rockwell software\arena\examples\general\assembly line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7" saveData="1">
    <dbPr connection="Driver={SQLite3 ODBC Driver};Database=c:\users\public\documents\rockwell software\arena\examples\general\assembly line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7" saveData="1">
    <dbPr connection="Driver={SQLite3 ODBC Driver};Database=c:\users\public\documents\rockwell software\arena\examples\general\assembly line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<sst xmlns="http://schemas.openxmlformats.org/spreadsheetml/2006/main" count="173" uniqueCount="67">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</sst>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75">
    <dxf>
      <numFmt numFmtId="0" formatCode="General"/>
    </dxf>
    <dxf>
      <numFmt numFmtId="164" formatCode="[=400000000000000000000]&quot;NoCalc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4" formatCode="0.00%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Glavach" refreshedDate="44673.51025486111" createdVersion="7" refreshedVersion="7" minRefreshableVersion="3" recordCount="180" xr:uid="{98BDAE34-4484-421D-B96E-804CE77A1811}">
  <cacheSource type="worksheet">
    <worksheetSource name="ContinuousStatsTable"/>
  </cacheSource>
  <cacheFields count="21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124">
        <m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NonDate="0" containsBlank="1" count="7">
        <m/>
        <s v="WIP"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NonDate="0" containsBlank="1" count="5">
        <m/>
        <s v="Queue" u="1"/>
        <s v="Resource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Last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String="0" containsBlank="1" containsNumber="1" containsInteger="1" minValue="0" maxValue="0"/>
    </cacheField>
    <cacheField name="AverageOfAverage" numFmtId="0">
      <sharedItems containsString="0" containsBlank="1" containsNumber="1" containsInteger="1" minValue="0" maxValue="0"/>
    </cacheField>
    <cacheField name="StDevOfAverage" numFmtId="0">
      <sharedItems containsString="0" containsBlank="1" containsNumber="1" containsInteger="1" minValue="0" maxValue="0"/>
    </cacheField>
    <cacheField name="ConfidenceInterval" numFmtId="0">
      <sharedItems containsString="0" containsBlank="1" containsNumber="1" minValue="0.95" maxValue="0.95"/>
    </cacheField>
    <cacheField name="HalfWidth" numFmtId="0">
      <sharedItems containsString="0" containsBlank="1" containsNumber="1" containsInteger="1" minValue="4E+20" maxValue="4E+20"/>
    </cacheField>
    <cacheField name="MinimumAverage" numFmtId="0">
      <sharedItems containsString="0" containsBlank="1" containsNumber="1" containsInteger="1" minValue="0" maxValue="0"/>
    </cacheField>
    <cacheField name="MaximumAverage" numFmtId="0">
      <sharedItems containsString="0" containsBlank="1" containsNumber="1" containsInteger="1" minValue="0" maxValue="0"/>
    </cacheField>
    <cacheField name="SummaryHalfWidth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Glavach" refreshedDate="44673.510255324072" createdVersion="7" refreshedVersion="7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Glavach" refreshedDate="44673.510255671295" createdVersion="7" refreshedVersion="7" minRefreshableVersion="3" recordCount="120" xr:uid="{B84A8B69-002E-494F-8DC0-5D2F7796C835}">
  <cacheSource type="worksheet">
    <worksheetSource name="DiscreteStatsTable"/>
  </cacheSource>
  <cacheFields count="2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99">
        <m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NonDate="0" containsBlank="1" count="12">
        <m/>
        <s v="Total Time Per Entity" u="1"/>
        <s v="NVA Time" u="1"/>
        <s v="VA Time Per Entity" u="1"/>
        <s v="Other Time" u="1"/>
        <s v="Wait Time Per Entity" u="1"/>
        <s v="Total Time" u="1"/>
        <s v="Transfer Time" u="1"/>
        <s v="Wait Time" u="1"/>
        <s v="VA Time" u="1"/>
        <s v="Interval" u="1"/>
        <s v="Waiting Time" u="1"/>
      </sharedItems>
    </cacheField>
    <cacheField name="Source" numFmtId="0">
      <sharedItems containsNonDate="0" containsBlank="1" count="5">
        <m/>
        <s v="Queue" u="1"/>
        <s v="Process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NumberObservations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String="0" containsBlank="1" containsNumber="1" containsInteger="1" minValue="0" maxValue="0"/>
    </cacheField>
    <cacheField name="AverageOfAverage" numFmtId="0">
      <sharedItems containsString="0" containsBlank="1" containsNumber="1" containsInteger="1" minValue="0" maxValue="0"/>
    </cacheField>
    <cacheField name="StDevOfAverage" numFmtId="0">
      <sharedItems containsString="0" containsBlank="1" containsNumber="1" containsInteger="1" minValue="0" maxValue="0"/>
    </cacheField>
    <cacheField name="ConfidenceInterval" numFmtId="0">
      <sharedItems containsString="0" containsBlank="1" containsNumber="1" minValue="0.95" maxValue="0.95"/>
    </cacheField>
    <cacheField name="HalfWidth" numFmtId="0">
      <sharedItems containsString="0" containsBlank="1" containsNumber="1" containsInteger="1" minValue="0" maxValue="0"/>
    </cacheField>
    <cacheField name="MinimumAverage" numFmtId="0">
      <sharedItems containsString="0" containsBlank="1" containsNumber="1" containsInteger="1" minValue="0" maxValue="0"/>
    </cacheField>
    <cacheField name="MaximumAverage" numFmtId="0">
      <sharedItems containsString="0" containsBlank="1" containsNumber="1" containsInteger="1" minValue="0" maxValue="0"/>
    </cacheField>
    <cacheField name="OverallMinimum" numFmtId="0">
      <sharedItems containsString="0" containsBlank="1" containsNumber="1" containsInteger="1" minValue="0" maxValue="0"/>
    </cacheField>
    <cacheField name="OverallMaximum" numFmtId="0">
      <sharedItems containsString="0" containsBlank="1" containsNumber="1" containsInteger="1" minValue="0" maxValue="0"/>
    </cacheField>
    <cacheField name="AverageNumberObservations" numFmtId="0">
      <sharedItems containsString="0" containsBlank="1" containsNumber="1" containsInteger="1" minValue="0" maxValue="0"/>
    </cacheField>
    <cacheField name="SummaryHalfWidth" numFmtId="0">
      <sharedItems containsString="0" containsBlank="1" containsNumber="1" containsInteger="1" minValue="0" maxValue="0"/>
    </cacheField>
    <cacheField name="RepsWithStatObserved" numFmtId="0">
      <sharedItems containsString="0" containsBlank="1" containsNumber="1" containsInteger="1" minValue="120" maxValue="120"/>
    </cacheField>
    <cacheField name="Observed=Requested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Glavach" refreshedDate="44673.510255787034" createdVersion="7" refreshedVersion="7" minRefreshableVersion="3" recordCount="110" xr:uid="{CD99054F-849B-4F05-A210-6C45A1A34EDA}">
  <cacheSource type="worksheet">
    <worksheetSource name="OutputTable"/>
  </cacheSource>
  <cacheFields count="16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9">
        <m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System.NumberOut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NonDate="0" containsBlank="1" count="7">
        <m/>
        <s v="Number In" u="1"/>
        <s v="Scheduled Utilization" u="1"/>
        <s v="Total Number Seized" u="1"/>
        <s v="Accum VA Time" u="1"/>
        <s v="Number Out" u="1"/>
        <s v="Accum Wait Time" u="1"/>
      </sharedItems>
    </cacheField>
    <cacheField name="Source" numFmtId="0">
      <sharedItems containsNonDate="0" containsBlank="1" count="5">
        <m/>
        <s v="System" u="1"/>
        <s v="Resource" u="1"/>
        <s v="Process" u="1"/>
        <s v="Entity" u="1"/>
      </sharedItems>
    </cacheField>
    <cacheField name="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String="0" containsBlank="1" containsNumber="1" containsInteger="1" minValue="0" maxValue="0"/>
    </cacheField>
    <cacheField name="Average" numFmtId="0">
      <sharedItems containsString="0" containsBlank="1" containsNumber="1" containsInteger="1" minValue="0" maxValue="0"/>
    </cacheField>
    <cacheField name="StandardDeviation" numFmtId="0">
      <sharedItems containsString="0" containsBlank="1" containsNumber="1" containsInteger="1" minValue="0" maxValue="0"/>
    </cacheField>
    <cacheField name="ConfidenceInterval" numFmtId="0">
      <sharedItems containsString="0" containsBlank="1" containsNumber="1" minValue="0.95" maxValue="0.95"/>
    </cacheField>
    <cacheField name="HalfWidth" numFmtId="0">
      <sharedItems containsString="0" containsBlank="1" containsNumber="1" containsInteger="1" minValue="4E+20" maxValue="4E+20"/>
    </cacheField>
    <cacheField name="Minimum" numFmtId="0">
      <sharedItems containsString="0" containsBlank="1" containsNumber="1" containsInteger="1" minValue="0" maxValue="0"/>
    </cacheField>
    <cacheField name="Maximum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Glavach" refreshedDate="44673.51025590278" createdVersion="7" refreshedVersion="7" minRefreshableVersion="3" recordCount="10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String="0" containsBlank="1" containsNumber="1" containsInteger="1" minValue="0" maxValue="0"/>
    </cacheField>
    <cacheField name="Average" numFmtId="0">
      <sharedItems containsString="0" containsBlank="1" containsNumber="1" containsInteger="1" minValue="0" maxValue="0"/>
    </cacheField>
    <cacheField name="StandardDeviation" numFmtId="0">
      <sharedItems containsString="0" containsBlank="1" containsNumber="1" containsInteger="1" minValue="0" maxValue="0"/>
    </cacheField>
    <cacheField name="ConfidenceInterval" numFmtId="0">
      <sharedItems containsString="0" containsBlank="1" containsNumber="1" minValue="0.95" maxValue="0.95"/>
    </cacheField>
    <cacheField name="HalfWidth" numFmtId="0">
      <sharedItems containsString="0" containsBlank="1" containsNumber="1" containsInteger="1" minValue="4E+20" maxValue="4E+20"/>
    </cacheField>
    <cacheField name="Minimum" numFmtId="0">
      <sharedItems containsString="0" containsBlank="1" containsNumber="1" containsInteger="1" minValue="0" maxValue="0"/>
    </cacheField>
    <cacheField name="Maximum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m/>
    <m/>
    <x v="0"/>
    <x v="0"/>
    <x v="0"/>
    <m/>
    <m/>
    <m/>
    <m/>
    <m/>
    <m/>
    <s v=""/>
    <n v="0"/>
    <n v="0"/>
    <n v="0"/>
    <n v="0.95"/>
    <n v="4E+20"/>
    <n v="0"/>
    <n v="0"/>
    <n v="0"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m/>
    <m/>
    <x v="0"/>
    <x v="0"/>
    <x v="0"/>
    <m/>
    <m/>
    <m/>
    <m/>
    <m/>
    <s v=""/>
    <n v="0"/>
    <n v="0"/>
    <n v="0"/>
    <n v="0.95"/>
    <n v="0"/>
    <n v="0"/>
    <n v="0"/>
    <n v="0"/>
    <n v="0"/>
    <n v="0"/>
    <n v="0"/>
    <n v="120"/>
    <n v="0"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x v="0"/>
    <m/>
    <m/>
    <x v="0"/>
    <x v="0"/>
    <x v="0"/>
    <m/>
    <m/>
    <s v=""/>
    <n v="0"/>
    <n v="0"/>
    <n v="0"/>
    <n v="0.95"/>
    <n v="4E+20"/>
    <n v="0"/>
    <n v="0"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m/>
    <m/>
    <x v="0"/>
    <x v="0"/>
    <x v="0"/>
    <m/>
    <s v=""/>
    <n v="0"/>
    <n v="0"/>
    <n v="0"/>
    <n v="0.95"/>
    <n v="4E+20"/>
    <n v="0"/>
    <n v="0"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0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4">
        <item m="1" x="15"/>
        <item m="1" x="6"/>
        <item m="1" x="22"/>
        <item m="1" x="31"/>
        <item m="1" x="44"/>
        <item m="1" x="43"/>
        <item m="1" x="7"/>
        <item m="1" x="108"/>
        <item m="1" x="86"/>
        <item m="1" x="49"/>
        <item m="1" x="36"/>
        <item m="1" x="40"/>
        <item m="1" x="122"/>
        <item m="1" x="25"/>
        <item m="1" x="107"/>
        <item m="1" x="29"/>
        <item m="1" x="80"/>
        <item m="1" x="94"/>
        <item m="1" x="4"/>
        <item m="1" x="30"/>
        <item m="1" x="117"/>
        <item m="1" x="19"/>
        <item m="1" x="109"/>
        <item m="1" x="8"/>
        <item m="1" x="35"/>
        <item m="1" x="61"/>
        <item m="1" x="5"/>
        <item m="1" x="11"/>
        <item m="1" x="81"/>
        <item m="1" x="62"/>
        <item m="1" x="96"/>
        <item m="1" x="52"/>
        <item m="1" x="16"/>
        <item m="1" x="46"/>
        <item m="1" x="82"/>
        <item m="1" x="67"/>
        <item m="1" x="17"/>
        <item m="1" x="27"/>
        <item m="1" x="89"/>
        <item m="1" x="3"/>
        <item m="1" x="116"/>
        <item m="1" x="74"/>
        <item m="1" x="14"/>
        <item m="1" x="99"/>
        <item m="1" x="45"/>
        <item m="1" x="118"/>
        <item m="1" x="79"/>
        <item m="1" x="21"/>
        <item m="1" x="66"/>
        <item m="1" x="85"/>
        <item m="1" x="98"/>
        <item m="1" x="106"/>
        <item m="1" x="115"/>
        <item m="1" x="2"/>
        <item m="1" x="20"/>
        <item m="1" x="34"/>
        <item m="1" x="23"/>
        <item m="1" x="1"/>
        <item m="1" x="95"/>
        <item m="1" x="112"/>
        <item m="1" x="38"/>
        <item m="1" x="73"/>
        <item m="1" x="26"/>
        <item m="1" x="47"/>
        <item m="1" x="32"/>
        <item m="1" x="56"/>
        <item m="1" x="41"/>
        <item m="1" x="63"/>
        <item m="1" x="48"/>
        <item m="1" x="75"/>
        <item m="1" x="57"/>
        <item m="1" x="83"/>
        <item m="1" x="64"/>
        <item m="1" x="92"/>
        <item m="1" x="76"/>
        <item m="1" x="97"/>
        <item m="1" x="84"/>
        <item m="1" x="101"/>
        <item m="1" x="113"/>
        <item m="1" x="103"/>
        <item m="1" x="87"/>
        <item m="1" x="60"/>
        <item m="1" x="39"/>
        <item m="1" x="54"/>
        <item m="1" x="18"/>
        <item m="1" x="24"/>
        <item m="1" x="33"/>
        <item m="1" x="37"/>
        <item m="1" x="69"/>
        <item m="1" x="114"/>
        <item m="1" x="104"/>
        <item m="1" x="88"/>
        <item m="1" x="55"/>
        <item m="1" x="123"/>
        <item m="1" x="71"/>
        <item m="1" x="59"/>
        <item m="1" x="91"/>
        <item m="1" x="72"/>
        <item m="1" x="51"/>
        <item m="1" x="58"/>
        <item m="1" x="12"/>
        <item m="1" x="77"/>
        <item m="1" x="93"/>
        <item m="1" x="102"/>
        <item m="1" x="110"/>
        <item m="1" x="121"/>
        <item m="1" x="9"/>
        <item m="1" x="28"/>
        <item m="1" x="120"/>
        <item m="1" x="10"/>
        <item m="1" x="78"/>
        <item m="1" x="53"/>
        <item m="1" x="68"/>
        <item m="1" x="13"/>
        <item m="1" x="119"/>
        <item m="1" x="100"/>
        <item m="1" x="50"/>
        <item m="1" x="111"/>
        <item m="1" x="70"/>
        <item m="1" x="90"/>
        <item m="1" x="105"/>
        <item m="1" x="42"/>
        <item m="1" x="65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m="1" x="1"/>
        <item m="1" x="4"/>
        <item x="0"/>
      </items>
    </pivotField>
    <pivotField axis="axisRow" compact="0" outline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123"/>
      <x v="6"/>
      <x v="4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6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60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2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2:M3" firstHeaderRow="0" firstDataRow="1" firstDataCol="4"/>
  <pivotFields count="2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10"/>
        <item m="1" x="33"/>
        <item m="1" x="5"/>
        <item m="1" x="85"/>
        <item m="1" x="68"/>
        <item m="1" x="38"/>
        <item m="1" x="94"/>
        <item m="1" x="26"/>
        <item m="1" x="30"/>
        <item m="1" x="97"/>
        <item m="1" x="63"/>
        <item m="1" x="75"/>
        <item m="1" x="80"/>
        <item m="1" x="4"/>
        <item m="1" x="32"/>
        <item m="1" x="22"/>
        <item m="1" x="98"/>
        <item m="1" x="92"/>
        <item m="1" x="20"/>
        <item m="1" x="14"/>
        <item m="1" x="86"/>
        <item m="1" x="6"/>
        <item m="1" x="39"/>
        <item m="1" x="25"/>
        <item m="1" x="50"/>
        <item m="1" x="77"/>
        <item m="1" x="41"/>
        <item m="1" x="11"/>
        <item m="1" x="35"/>
        <item m="1" x="64"/>
        <item m="1" x="54"/>
        <item m="1" x="12"/>
        <item m="1" x="71"/>
        <item m="1" x="3"/>
        <item m="1" x="91"/>
        <item m="1" x="59"/>
        <item m="1" x="79"/>
        <item m="1" x="34"/>
        <item m="1" x="93"/>
        <item m="1" x="62"/>
        <item m="1" x="16"/>
        <item m="1" x="53"/>
        <item m="1" x="67"/>
        <item m="1" x="78"/>
        <item m="1" x="84"/>
        <item m="1" x="2"/>
        <item m="1" x="15"/>
        <item m="1" x="24"/>
        <item m="1" x="17"/>
        <item m="1" x="1"/>
        <item m="1" x="76"/>
        <item m="1" x="88"/>
        <item m="1" x="28"/>
        <item m="1" x="58"/>
        <item m="1" x="19"/>
        <item m="1" x="36"/>
        <item m="1" x="23"/>
        <item m="1" x="44"/>
        <item m="1" x="31"/>
        <item m="1" x="51"/>
        <item m="1" x="37"/>
        <item m="1" x="60"/>
        <item m="1" x="45"/>
        <item m="1" x="65"/>
        <item m="1" x="52"/>
        <item m="1" x="73"/>
        <item m="1" x="66"/>
        <item m="1" x="81"/>
        <item m="1" x="89"/>
        <item m="1" x="69"/>
        <item m="1" x="48"/>
        <item m="1" x="29"/>
        <item m="1" x="42"/>
        <item m="1" x="13"/>
        <item m="1" x="18"/>
        <item m="1" x="27"/>
        <item m="1" x="55"/>
        <item m="1" x="90"/>
        <item m="1" x="83"/>
        <item m="1" x="70"/>
        <item m="1" x="43"/>
        <item m="1" x="56"/>
        <item m="1" x="47"/>
        <item m="1" x="72"/>
        <item m="1" x="57"/>
        <item m="1" x="40"/>
        <item m="1" x="46"/>
        <item m="1" x="9"/>
        <item m="1" x="49"/>
        <item m="1" x="61"/>
        <item m="1" x="74"/>
        <item m="1" x="82"/>
        <item m="1" x="87"/>
        <item m="1" x="96"/>
        <item m="1" x="7"/>
        <item m="1" x="21"/>
        <item m="1" x="95"/>
        <item m="1" x="8"/>
        <item x="0"/>
      </items>
    </pivotField>
    <pivotField axis="axisRow" compact="0" outline="0" showAll="0" defaultSubtotal="0">
      <items count="12">
        <item m="1" x="10"/>
        <item m="1" x="2"/>
        <item m="1" x="4"/>
        <item m="1" x="6"/>
        <item m="1" x="7"/>
        <item m="1" x="9"/>
        <item m="1" x="8"/>
        <item m="1" x="11"/>
        <item m="1" x="1"/>
        <item m="1" x="3"/>
        <item m="1" x="5"/>
        <item x="0"/>
      </items>
    </pivotField>
    <pivotField axis="axisRow" compact="0" outline="0" showAll="0" defaultSubtotal="0">
      <items count="5">
        <item m="1" x="3"/>
        <item m="1" x="1"/>
        <item m="1" x="4"/>
        <item m="1" x="2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">
    <i>
      <x v="1"/>
      <x v="98"/>
      <x v="11"/>
      <x v="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8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K2:AS3" firstHeaderRow="0" firstDataRow="1" firstDataCol="4"/>
  <pivotFields count="16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6"/>
        <item m="1" x="1"/>
        <item m="1" x="27"/>
        <item m="1" x="2"/>
        <item m="1" x="28"/>
        <item m="1" x="3"/>
        <item m="1" x="29"/>
        <item m="1" x="4"/>
        <item m="1" x="61"/>
        <item m="1" x="16"/>
        <item m="1" x="15"/>
        <item m="1" x="60"/>
        <item m="1" x="47"/>
        <item m="1" x="64"/>
        <item m="1" x="49"/>
        <item m="1" x="65"/>
        <item m="1" x="72"/>
        <item m="1" x="41"/>
        <item m="1" x="8"/>
        <item m="1" x="58"/>
        <item m="1" x="48"/>
        <item m="1" x="46"/>
        <item m="1" x="11"/>
        <item m="1" x="56"/>
        <item m="1" x="21"/>
        <item m="1" x="57"/>
        <item m="1" x="22"/>
        <item m="1" x="55"/>
        <item m="1" x="75"/>
        <item m="1" x="14"/>
        <item m="1" x="78"/>
        <item m="1" x="43"/>
        <item m="1" x="9"/>
        <item m="1" x="73"/>
        <item m="1" x="68"/>
        <item m="1" x="44"/>
        <item m="1" x="10"/>
        <item m="1" x="74"/>
        <item m="1" x="69"/>
        <item m="1" x="5"/>
        <item m="1" x="40"/>
        <item m="1" x="24"/>
        <item m="1" x="13"/>
        <item m="1" x="66"/>
        <item m="1" x="36"/>
        <item m="1" x="67"/>
        <item m="1" x="37"/>
        <item m="1" x="23"/>
        <item m="1" x="18"/>
        <item m="1" x="45"/>
        <item m="1" x="20"/>
        <item m="1" x="77"/>
        <item m="1" x="70"/>
        <item m="1" x="19"/>
        <item m="1" x="17"/>
        <item m="1" x="62"/>
        <item m="1" x="71"/>
        <item m="1" x="6"/>
        <item m="1" x="25"/>
        <item m="1" x="38"/>
        <item m="1" x="59"/>
        <item m="1" x="76"/>
        <item m="1" x="7"/>
        <item m="1" x="35"/>
        <item m="1" x="39"/>
        <item m="1" x="63"/>
        <item m="1" x="42"/>
        <item m="1" x="12"/>
        <item m="1" x="30"/>
        <item m="1" x="50"/>
        <item m="1" x="31"/>
        <item m="1" x="51"/>
        <item m="1" x="32"/>
        <item m="1" x="52"/>
        <item m="1" x="33"/>
        <item m="1" x="53"/>
        <item m="1" x="34"/>
        <item m="1" x="54"/>
        <item x="0"/>
      </items>
    </pivotField>
    <pivotField axis="axisRow" compact="0" outline="0" showAll="0" defaultSubtotal="0">
      <items count="7">
        <item m="1" x="1"/>
        <item m="1" x="5"/>
        <item m="1" x="2"/>
        <item m="1" x="3"/>
        <item m="1" x="4"/>
        <item m="1" x="6"/>
        <item x="0"/>
      </items>
    </pivotField>
    <pivotField axis="axisRow" compact="0" outline="0" showAll="0" defaultSubtotal="0">
      <items count="5">
        <item m="1" x="4"/>
        <item m="1" x="2"/>
        <item m="1" x="1"/>
        <item m="1" x="3"/>
        <item x="0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78"/>
      <x v="6"/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94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21" tableType="queryTable" totalsRowShown="0">
  <autoFilter ref="A1:Y121" xr:uid="{C3D003CA-1AFF-426C-A03D-D3AF5760DF1A}"/>
  <sortState xmlns:xlrd2="http://schemas.microsoft.com/office/spreadsheetml/2017/richdata2" ref="A2:Y121">
    <sortCondition ref="D1:D12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7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6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5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44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43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12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42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41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40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9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8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3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81" tableType="queryTable" totalsRowShown="0">
  <autoFilter ref="A1:U18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3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3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3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3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3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2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2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2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11" tableType="queryTable" totalsRowShown="0">
  <autoFilter ref="A1:O1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26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25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24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2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22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21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11" tableType="queryTable" totalsRowShown="0">
  <autoFilter ref="A1:P11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20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19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18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17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16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15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4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13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4" x14ac:dyDescent="0.3"/>
  <cols>
    <col min="1" max="1" width="14.21875" bestFit="1" customWidth="1"/>
    <col min="2" max="2" width="77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G2">
        <f>0.95</f>
        <v>0.95</v>
      </c>
    </row>
  </sheetData>
  <phoneticPr fontId="2" type="noConversion"/>
  <conditionalFormatting sqref="D2">
    <cfRule type="expression" dxfId="74" priority="1">
      <formula>D2=3</formula>
    </cfRule>
    <cfRule type="expression" dxfId="73" priority="2">
      <formula>D2=2</formula>
    </cfRule>
    <cfRule type="expression" dxfId="72" priority="3">
      <formula>D2=1</formula>
    </cfRule>
    <cfRule type="expression" dxfId="71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"/>
  <sheetViews>
    <sheetView tabSelected="1" workbookViewId="0"/>
  </sheetViews>
  <sheetFormatPr defaultRowHeight="14.4" x14ac:dyDescent="0.3"/>
  <cols>
    <col min="1" max="1" width="33.2187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0.109375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0.109375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3">
      <c r="A2" s="4" t="s">
        <v>41</v>
      </c>
      <c r="B2" s="4" t="s">
        <v>21</v>
      </c>
      <c r="C2" s="4" t="s">
        <v>23</v>
      </c>
      <c r="D2" s="4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4" t="s">
        <v>41</v>
      </c>
      <c r="P2" s="4" t="s">
        <v>21</v>
      </c>
      <c r="Q2" s="4" t="s">
        <v>23</v>
      </c>
      <c r="R2" s="4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4" t="s">
        <v>41</v>
      </c>
      <c r="AB2" s="4" t="s">
        <v>21</v>
      </c>
      <c r="AC2" s="4" t="s">
        <v>23</v>
      </c>
      <c r="AD2" s="4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4" t="s">
        <v>41</v>
      </c>
      <c r="AL2" s="4" t="s">
        <v>21</v>
      </c>
      <c r="AM2" s="4" t="s">
        <v>23</v>
      </c>
      <c r="AN2" s="4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4" t="s">
        <v>41</v>
      </c>
      <c r="AV2" s="4" t="s">
        <v>21</v>
      </c>
      <c r="AW2" s="4" t="s">
        <v>57</v>
      </c>
      <c r="AX2" s="4" t="s">
        <v>22</v>
      </c>
      <c r="AY2" t="s">
        <v>58</v>
      </c>
      <c r="AZ2" t="s">
        <v>59</v>
      </c>
    </row>
    <row r="3" spans="1:52" x14ac:dyDescent="0.3">
      <c r="A3" t="s">
        <v>65</v>
      </c>
      <c r="B3" t="s">
        <v>65</v>
      </c>
      <c r="C3" t="s">
        <v>65</v>
      </c>
      <c r="D3" t="s">
        <v>65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/>
      <c r="L3" s="3"/>
      <c r="M3" s="3">
        <v>0</v>
      </c>
      <c r="O3" t="s">
        <v>65</v>
      </c>
      <c r="P3" t="s">
        <v>65</v>
      </c>
      <c r="Q3" t="s">
        <v>65</v>
      </c>
      <c r="R3" t="s">
        <v>65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/>
      <c r="Y3" s="3"/>
      <c r="AA3" t="s">
        <v>65</v>
      </c>
      <c r="AB3" t="s">
        <v>65</v>
      </c>
      <c r="AC3" t="s">
        <v>65</v>
      </c>
      <c r="AD3" t="s">
        <v>65</v>
      </c>
      <c r="AE3" s="3">
        <v>0</v>
      </c>
      <c r="AF3" s="3">
        <v>4E+20</v>
      </c>
      <c r="AG3" s="3">
        <v>0</v>
      </c>
      <c r="AH3" s="3">
        <v>0</v>
      </c>
      <c r="AI3" s="3">
        <v>0</v>
      </c>
      <c r="AK3" t="s">
        <v>65</v>
      </c>
      <c r="AL3" t="s">
        <v>65</v>
      </c>
      <c r="AM3" t="s">
        <v>65</v>
      </c>
      <c r="AN3" t="s">
        <v>65</v>
      </c>
      <c r="AO3" s="3">
        <v>0</v>
      </c>
      <c r="AP3" s="3">
        <v>4E+20</v>
      </c>
      <c r="AQ3" s="3">
        <v>0</v>
      </c>
      <c r="AR3" s="3">
        <v>0</v>
      </c>
      <c r="AS3" s="3">
        <v>0</v>
      </c>
      <c r="AU3" t="s">
        <v>65</v>
      </c>
      <c r="AV3" t="s">
        <v>65</v>
      </c>
      <c r="AW3" t="s">
        <v>65</v>
      </c>
      <c r="AX3" t="s">
        <v>65</v>
      </c>
      <c r="AY3" s="6"/>
      <c r="AZ3" s="6"/>
    </row>
  </sheetData>
  <dataConsolidate/>
  <conditionalFormatting pivot="1" sqref="G3">
    <cfRule type="expression" dxfId="70" priority="10">
      <formula>G3=200000000000000000000</formula>
    </cfRule>
  </conditionalFormatting>
  <conditionalFormatting pivot="1" sqref="T3">
    <cfRule type="expression" dxfId="69" priority="9">
      <formula>T3=200000000000000000000</formula>
    </cfRule>
  </conditionalFormatting>
  <conditionalFormatting pivot="1" sqref="T3">
    <cfRule type="expression" dxfId="68" priority="8">
      <formula>T3=300000000000000000000</formula>
    </cfRule>
  </conditionalFormatting>
  <conditionalFormatting pivot="1" sqref="G3">
    <cfRule type="expression" dxfId="67" priority="7">
      <formula>G3=300000000000000000000</formula>
    </cfRule>
  </conditionalFormatting>
  <conditionalFormatting pivot="1" sqref="F3">
    <cfRule type="expression" dxfId="66" priority="6">
      <formula>F3=0</formula>
    </cfRule>
  </conditionalFormatting>
  <conditionalFormatting pivot="1" sqref="F3">
    <cfRule type="expression" dxfId="65" priority="5">
      <formula>F3=1</formula>
    </cfRule>
  </conditionalFormatting>
  <conditionalFormatting pivot="1" sqref="T3">
    <cfRule type="expression" dxfId="64" priority="4">
      <formula>T3=400000000000000000000</formula>
    </cfRule>
  </conditionalFormatting>
  <conditionalFormatting pivot="1" sqref="AP3">
    <cfRule type="expression" dxfId="63" priority="3">
      <formula>AP3=400000000000000000000</formula>
    </cfRule>
  </conditionalFormatting>
  <conditionalFormatting pivot="1" sqref="AF3">
    <cfRule type="expression" dxfId="62" priority="2">
      <formula>AF3=400000000000000000000</formula>
    </cfRule>
  </conditionalFormatting>
  <conditionalFormatting pivot="1" sqref="G3">
    <cfRule type="expression" dxfId="61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21"/>
  <sheetViews>
    <sheetView workbookViewId="0">
      <selection activeCell="K2" sqref="K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21.109375" bestFit="1" customWidth="1"/>
    <col min="5" max="5" width="12.21875" bestFit="1" customWidth="1"/>
    <col min="6" max="6" width="12.5546875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49.2187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2" bestFit="1" customWidth="1"/>
    <col min="18" max="18" width="18.44140625" bestFit="1" customWidth="1"/>
    <col min="19" max="19" width="18.77734375" customWidth="1"/>
    <col min="20" max="20" width="17.44140625" customWidth="1"/>
    <col min="21" max="21" width="17.77734375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L2" t="str">
        <f>DiscreteStatsTable[[#This Row],[ProjectName]]&amp;DiscreteStatsTable[[#This Row],[Name]]&amp;DiscreteStatsTable[[#This Row],[Type]]&amp;DiscreteStatsTable[[#This Row],[Source]]</f>
        <v/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s="3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 s="3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s="3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s="3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s="3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s="3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s="3" cm="1">
        <f t="array" ref="V2">IFERROR(AVERAGE(IF((DiscreteStatsTable[GroupByKey]=DiscreteStatsTable[[#This Row],[GroupByKey]]),(DiscreteStatsTable[GroupByKey]=DiscreteStatsTable[[#This Row],[GroupByKey]])*DiscreteStatsTable[NumberObservations])),0)</f>
        <v>0</v>
      </c>
      <c r="W2" s="3">
        <f>IF((DiscreteStatsTable[[#This Row],[RepsRequested]]&gt;1),DiscreteStatsTable[[#This Row],[HalfWidth]],DiscreteStatsTable[[#This Row],[BatchMeansHalfWidth]])</f>
        <v>0</v>
      </c>
      <c r="X2" s="3" cm="1">
        <f t="array" ref="X2">COUNT(IF((DiscreteStatsTable[GroupByKey]=DiscreteStatsTable[[#This Row],[GroupByKey]]),(DiscreteStatsTable[GroupByKey]=DiscreteStatsTable[[#This Row],[GroupByKey]])*DiscreteStatsTable[Replication]))</f>
        <v>120</v>
      </c>
      <c r="Y2" s="3">
        <f>IF(DiscreteStatsTable[[#This Row],[RepsRequested]]=DiscreteStatsTable[[#This Row],[RepsWithStatObserved]],1,0)</f>
        <v>0</v>
      </c>
    </row>
    <row r="3" spans="1:25" x14ac:dyDescent="0.3"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3"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x14ac:dyDescent="0.3"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x14ac:dyDescent="0.3"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x14ac:dyDescent="0.3"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x14ac:dyDescent="0.3"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x14ac:dyDescent="0.3"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x14ac:dyDescent="0.3"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x14ac:dyDescent="0.3"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x14ac:dyDescent="0.3"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x14ac:dyDescent="0.3"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x14ac:dyDescent="0.3"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x14ac:dyDescent="0.3"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x14ac:dyDescent="0.3"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5:25" x14ac:dyDescent="0.3"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5:25" x14ac:dyDescent="0.3"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5:25" x14ac:dyDescent="0.3"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5:25" x14ac:dyDescent="0.3"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5:25" x14ac:dyDescent="0.3"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5:25" x14ac:dyDescent="0.3"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5:25" x14ac:dyDescent="0.3"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5:25" x14ac:dyDescent="0.3"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5:25" x14ac:dyDescent="0.3"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5:25" x14ac:dyDescent="0.3"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5:25" x14ac:dyDescent="0.3"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5:25" x14ac:dyDescent="0.3"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5:25" x14ac:dyDescent="0.3"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5:25" x14ac:dyDescent="0.3"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5:25" x14ac:dyDescent="0.3"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5:25" x14ac:dyDescent="0.3"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12:25" x14ac:dyDescent="0.3"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12:25" x14ac:dyDescent="0.3"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2:25" x14ac:dyDescent="0.3"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2:25" x14ac:dyDescent="0.3"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2:25" x14ac:dyDescent="0.3"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2:25" x14ac:dyDescent="0.3"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2:25" x14ac:dyDescent="0.3"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</row>
    <row r="40" spans="12:25" x14ac:dyDescent="0.3"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</row>
    <row r="41" spans="12:25" x14ac:dyDescent="0.3"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</row>
    <row r="42" spans="12:25" x14ac:dyDescent="0.3"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2:25" x14ac:dyDescent="0.3"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2:25" x14ac:dyDescent="0.3"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2:25" x14ac:dyDescent="0.3"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2:25" x14ac:dyDescent="0.3"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2:25" x14ac:dyDescent="0.3"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2:25" x14ac:dyDescent="0.3"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2:25" x14ac:dyDescent="0.3"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2:25" x14ac:dyDescent="0.3"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</row>
    <row r="51" spans="12:25" x14ac:dyDescent="0.3"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2:25" x14ac:dyDescent="0.3"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2:25" x14ac:dyDescent="0.3"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2:25" x14ac:dyDescent="0.3"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2:25" x14ac:dyDescent="0.3"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</row>
    <row r="56" spans="12:25" x14ac:dyDescent="0.3"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</row>
    <row r="57" spans="12:25" x14ac:dyDescent="0.3"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</row>
    <row r="58" spans="12:25" x14ac:dyDescent="0.3"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</row>
    <row r="59" spans="12:25" x14ac:dyDescent="0.3"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</row>
    <row r="60" spans="12:25" x14ac:dyDescent="0.3"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</row>
    <row r="61" spans="12:25" x14ac:dyDescent="0.3"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</row>
    <row r="62" spans="12:25" x14ac:dyDescent="0.3"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</row>
    <row r="63" spans="12:25" x14ac:dyDescent="0.3"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</row>
    <row r="64" spans="12:25" x14ac:dyDescent="0.3"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</row>
    <row r="65" spans="12:25" x14ac:dyDescent="0.3"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</row>
    <row r="66" spans="12:25" x14ac:dyDescent="0.3"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</row>
    <row r="67" spans="12:25" x14ac:dyDescent="0.3"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</row>
    <row r="68" spans="12:25" x14ac:dyDescent="0.3"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</row>
    <row r="69" spans="12:25" x14ac:dyDescent="0.3"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12:25" x14ac:dyDescent="0.3"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</row>
    <row r="71" spans="12:25" x14ac:dyDescent="0.3"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</row>
    <row r="72" spans="12:25" x14ac:dyDescent="0.3"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</row>
    <row r="73" spans="12:25" x14ac:dyDescent="0.3"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</row>
    <row r="74" spans="12:25" x14ac:dyDescent="0.3"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12:25" x14ac:dyDescent="0.3"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</row>
    <row r="76" spans="12:25" x14ac:dyDescent="0.3"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</row>
    <row r="77" spans="12:25" x14ac:dyDescent="0.3"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</row>
    <row r="78" spans="12:25" x14ac:dyDescent="0.3"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</row>
    <row r="79" spans="12:25" x14ac:dyDescent="0.3"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</row>
    <row r="80" spans="12:25" x14ac:dyDescent="0.3"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</row>
    <row r="81" spans="12:25" x14ac:dyDescent="0.3"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</row>
    <row r="82" spans="12:25" x14ac:dyDescent="0.3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</row>
    <row r="83" spans="12:25" x14ac:dyDescent="0.3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</row>
    <row r="84" spans="12:25" x14ac:dyDescent="0.3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</row>
    <row r="85" spans="12:25" x14ac:dyDescent="0.3"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</row>
    <row r="86" spans="12:25" x14ac:dyDescent="0.3"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</row>
    <row r="87" spans="12:25" x14ac:dyDescent="0.3"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</row>
    <row r="88" spans="12:25" x14ac:dyDescent="0.3"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</row>
    <row r="89" spans="12:25" x14ac:dyDescent="0.3"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</row>
    <row r="90" spans="12:25" x14ac:dyDescent="0.3"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</row>
    <row r="91" spans="12:25" x14ac:dyDescent="0.3"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</row>
    <row r="92" spans="12:25" x14ac:dyDescent="0.3"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</row>
    <row r="93" spans="12:25" x14ac:dyDescent="0.3"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</row>
    <row r="94" spans="12:25" x14ac:dyDescent="0.3"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</row>
    <row r="95" spans="12:25" x14ac:dyDescent="0.3"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12:25" x14ac:dyDescent="0.3"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</row>
    <row r="97" spans="12:25" x14ac:dyDescent="0.3"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</row>
    <row r="98" spans="12:25" x14ac:dyDescent="0.3"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</row>
    <row r="99" spans="12:25" x14ac:dyDescent="0.3"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</row>
    <row r="100" spans="12:25" x14ac:dyDescent="0.3"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</row>
    <row r="101" spans="12:25" x14ac:dyDescent="0.3"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</row>
    <row r="102" spans="12:25" x14ac:dyDescent="0.3"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</row>
    <row r="103" spans="12:25" x14ac:dyDescent="0.3"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12:25" x14ac:dyDescent="0.3"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12:25" x14ac:dyDescent="0.3"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12:25" x14ac:dyDescent="0.3"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</row>
    <row r="107" spans="12:25" x14ac:dyDescent="0.3"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</row>
    <row r="108" spans="12:25" x14ac:dyDescent="0.3"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</row>
    <row r="109" spans="12:25" x14ac:dyDescent="0.3"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</row>
    <row r="110" spans="12:25" x14ac:dyDescent="0.3"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</row>
    <row r="111" spans="12:25" x14ac:dyDescent="0.3"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</row>
    <row r="112" spans="12:25" x14ac:dyDescent="0.3"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</row>
    <row r="113" spans="12:25" x14ac:dyDescent="0.3"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</row>
    <row r="114" spans="12:25" x14ac:dyDescent="0.3"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</row>
    <row r="115" spans="12:25" x14ac:dyDescent="0.3"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</row>
    <row r="116" spans="12:25" x14ac:dyDescent="0.3"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</row>
    <row r="117" spans="12:25" x14ac:dyDescent="0.3"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</row>
    <row r="118" spans="12:25" x14ac:dyDescent="0.3"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</row>
    <row r="119" spans="12:25" x14ac:dyDescent="0.3"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</row>
    <row r="120" spans="12:25" x14ac:dyDescent="0.3"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</row>
    <row r="121" spans="12:25" x14ac:dyDescent="0.3"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</row>
  </sheetData>
  <phoneticPr fontId="2" type="noConversion"/>
  <conditionalFormatting sqref="H2:H121">
    <cfRule type="expression" dxfId="11" priority="23">
      <formula>H2=200000000000000000000</formula>
    </cfRule>
  </conditionalFormatting>
  <conditionalFormatting sqref="H2:H121">
    <cfRule type="expression" dxfId="10" priority="21">
      <formula>H2=300000000000000000000</formula>
    </cfRule>
  </conditionalFormatting>
  <conditionalFormatting sqref="L2:Y121">
    <cfRule type="expression" dxfId="9" priority="19">
      <formula>MOD(ROW(),2)=0</formula>
    </cfRule>
  </conditionalFormatting>
  <conditionalFormatting sqref="Y2:Y121">
    <cfRule type="expression" dxfId="8" priority="14">
      <formula>Y2=0</formula>
    </cfRule>
    <cfRule type="expression" dxfId="7" priority="16">
      <formula>Y2=1</formula>
    </cfRule>
  </conditionalFormatting>
  <conditionalFormatting sqref="Y3:Y121">
    <cfRule type="expression" dxfId="6" priority="15">
      <formula>Y3=1</formula>
    </cfRule>
  </conditionalFormatting>
  <conditionalFormatting sqref="W2:W121">
    <cfRule type="expression" dxfId="5" priority="7">
      <formula>W2=200000000000000000000</formula>
    </cfRule>
    <cfRule type="expression" dxfId="4" priority="6">
      <formula>W2=300000000000000000000</formula>
    </cfRule>
  </conditionalFormatting>
  <conditionalFormatting sqref="Q2:Q121">
    <cfRule type="expression" dxfId="3" priority="5">
      <formula>Q2=200000000000000000000</formula>
    </cfRule>
  </conditionalFormatting>
  <conditionalFormatting sqref="Q2:Q121">
    <cfRule type="expression" dxfId="2" priority="2">
      <formula>Q2=400000000000000000000</formula>
    </cfRule>
  </conditionalFormatting>
  <conditionalFormatting sqref="W2:W121">
    <cfRule type="expression" dxfId="1" priority="1">
      <formula>W2=400000000000000000000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21.10937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51.886718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M2" t="str">
        <f>ContinuousStatsTable[[#This Row],[ProjectName]]&amp;ContinuousStatsTable[[#This Row],[Name]]&amp;ContinuousStatsTable[[#This Row],[Type]]&amp;ContinuousStatsTable[[#This Row],[Source]]</f>
        <v/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s="3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s="3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s="3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 s="3">
        <f>IF((ContinuousStatsTable[[#This Row],[RepsRequested]]&gt;1),ContinuousStatsTable[[#This Row],[HalfWidth]],ContinuousStatsTable[[#This Row],[BatchMeansHalfWidth]])</f>
        <v>0</v>
      </c>
    </row>
    <row r="3" spans="1:21" x14ac:dyDescent="0.3">
      <c r="P3" s="3"/>
      <c r="Q3" s="3"/>
      <c r="R3" s="3"/>
      <c r="S3" s="3"/>
      <c r="T3" s="3"/>
      <c r="U3" s="3"/>
    </row>
    <row r="4" spans="1:21" x14ac:dyDescent="0.3">
      <c r="P4" s="3"/>
      <c r="Q4" s="3"/>
      <c r="R4" s="3"/>
      <c r="S4" s="3"/>
      <c r="T4" s="3"/>
      <c r="U4" s="3"/>
    </row>
    <row r="5" spans="1:21" x14ac:dyDescent="0.3">
      <c r="P5" s="3"/>
      <c r="Q5" s="3"/>
      <c r="R5" s="3"/>
      <c r="S5" s="3"/>
      <c r="T5" s="3"/>
      <c r="U5" s="3"/>
    </row>
    <row r="6" spans="1:21" x14ac:dyDescent="0.3">
      <c r="P6" s="3"/>
      <c r="Q6" s="3"/>
      <c r="R6" s="3"/>
      <c r="S6" s="3"/>
      <c r="T6" s="3"/>
      <c r="U6" s="3"/>
    </row>
    <row r="7" spans="1:21" x14ac:dyDescent="0.3">
      <c r="P7" s="3"/>
      <c r="Q7" s="3"/>
      <c r="R7" s="3"/>
      <c r="S7" s="3"/>
      <c r="T7" s="3"/>
      <c r="U7" s="3"/>
    </row>
    <row r="8" spans="1:21" x14ac:dyDescent="0.3">
      <c r="P8" s="3"/>
      <c r="Q8" s="3"/>
      <c r="R8" s="3"/>
      <c r="S8" s="3"/>
      <c r="T8" s="3"/>
      <c r="U8" s="3"/>
    </row>
    <row r="9" spans="1:21" x14ac:dyDescent="0.3">
      <c r="P9" s="3"/>
      <c r="Q9" s="3"/>
      <c r="R9" s="3"/>
      <c r="S9" s="3"/>
      <c r="T9" s="3"/>
      <c r="U9" s="3"/>
    </row>
    <row r="10" spans="1:21" x14ac:dyDescent="0.3">
      <c r="P10" s="3"/>
      <c r="Q10" s="3"/>
      <c r="R10" s="3"/>
      <c r="S10" s="3"/>
      <c r="T10" s="3"/>
      <c r="U10" s="3"/>
    </row>
    <row r="11" spans="1:21" x14ac:dyDescent="0.3">
      <c r="P11" s="3"/>
      <c r="Q11" s="3"/>
      <c r="R11" s="3"/>
      <c r="S11" s="3"/>
      <c r="T11" s="3"/>
      <c r="U11" s="3"/>
    </row>
    <row r="12" spans="1:21" x14ac:dyDescent="0.3">
      <c r="P12" s="3"/>
      <c r="Q12" s="3"/>
      <c r="R12" s="3"/>
      <c r="S12" s="3"/>
      <c r="T12" s="3"/>
      <c r="U12" s="3"/>
    </row>
    <row r="13" spans="1:21" x14ac:dyDescent="0.3">
      <c r="P13" s="3"/>
      <c r="Q13" s="3"/>
      <c r="R13" s="3"/>
      <c r="S13" s="3"/>
      <c r="T13" s="3"/>
      <c r="U13" s="3"/>
    </row>
    <row r="14" spans="1:21" x14ac:dyDescent="0.3">
      <c r="P14" s="3"/>
      <c r="Q14" s="3"/>
      <c r="R14" s="3"/>
      <c r="S14" s="3"/>
      <c r="T14" s="3"/>
      <c r="U14" s="3"/>
    </row>
    <row r="15" spans="1:21" x14ac:dyDescent="0.3">
      <c r="P15" s="3"/>
      <c r="Q15" s="3"/>
      <c r="R15" s="3"/>
      <c r="S15" s="3"/>
      <c r="T15" s="3"/>
      <c r="U15" s="3"/>
    </row>
    <row r="16" spans="1:21" x14ac:dyDescent="0.3">
      <c r="P16" s="3"/>
      <c r="Q16" s="3"/>
      <c r="R16" s="3"/>
      <c r="S16" s="3"/>
      <c r="T16" s="3"/>
      <c r="U16" s="3"/>
    </row>
    <row r="17" spans="16:21" x14ac:dyDescent="0.3">
      <c r="P17" s="3"/>
      <c r="Q17" s="3"/>
      <c r="R17" s="3"/>
      <c r="S17" s="3"/>
      <c r="T17" s="3"/>
      <c r="U17" s="3"/>
    </row>
    <row r="18" spans="16:21" x14ac:dyDescent="0.3">
      <c r="P18" s="3"/>
      <c r="Q18" s="3"/>
      <c r="R18" s="3"/>
      <c r="S18" s="3"/>
      <c r="T18" s="3"/>
      <c r="U18" s="3"/>
    </row>
    <row r="19" spans="16:21" x14ac:dyDescent="0.3">
      <c r="P19" s="3"/>
      <c r="Q19" s="3"/>
      <c r="R19" s="3"/>
      <c r="S19" s="3"/>
      <c r="T19" s="3"/>
      <c r="U19" s="3"/>
    </row>
    <row r="20" spans="16:21" x14ac:dyDescent="0.3">
      <c r="P20" s="3"/>
      <c r="Q20" s="3"/>
      <c r="R20" s="3"/>
      <c r="S20" s="3"/>
      <c r="T20" s="3"/>
      <c r="U20" s="3"/>
    </row>
    <row r="21" spans="16:21" x14ac:dyDescent="0.3">
      <c r="P21" s="3"/>
      <c r="Q21" s="3"/>
      <c r="R21" s="3"/>
      <c r="S21" s="3"/>
      <c r="T21" s="3"/>
      <c r="U21" s="3"/>
    </row>
    <row r="22" spans="16:21" x14ac:dyDescent="0.3">
      <c r="P22" s="3"/>
      <c r="Q22" s="3"/>
      <c r="R22" s="3"/>
      <c r="S22" s="3"/>
      <c r="T22" s="3"/>
      <c r="U22" s="3"/>
    </row>
    <row r="23" spans="16:21" x14ac:dyDescent="0.3">
      <c r="P23" s="3"/>
      <c r="Q23" s="3"/>
      <c r="R23" s="3"/>
      <c r="S23" s="3"/>
      <c r="T23" s="3"/>
      <c r="U23" s="3"/>
    </row>
    <row r="24" spans="16:21" x14ac:dyDescent="0.3">
      <c r="P24" s="3"/>
      <c r="Q24" s="3"/>
      <c r="R24" s="3"/>
      <c r="S24" s="3"/>
      <c r="T24" s="3"/>
      <c r="U24" s="3"/>
    </row>
    <row r="25" spans="16:21" x14ac:dyDescent="0.3">
      <c r="P25" s="3"/>
      <c r="Q25" s="3"/>
      <c r="R25" s="3"/>
      <c r="S25" s="3"/>
      <c r="T25" s="3"/>
      <c r="U25" s="3"/>
    </row>
    <row r="26" spans="16:21" x14ac:dyDescent="0.3">
      <c r="P26" s="3"/>
      <c r="Q26" s="3"/>
      <c r="R26" s="3"/>
      <c r="S26" s="3"/>
      <c r="T26" s="3"/>
      <c r="U26" s="3"/>
    </row>
    <row r="27" spans="16:21" x14ac:dyDescent="0.3">
      <c r="P27" s="3"/>
      <c r="Q27" s="3"/>
      <c r="R27" s="3"/>
      <c r="S27" s="3"/>
      <c r="T27" s="3"/>
      <c r="U27" s="3"/>
    </row>
    <row r="28" spans="16:21" x14ac:dyDescent="0.3">
      <c r="P28" s="3"/>
      <c r="Q28" s="3"/>
      <c r="R28" s="3"/>
      <c r="S28" s="3"/>
      <c r="T28" s="3"/>
      <c r="U28" s="3"/>
    </row>
    <row r="29" spans="16:21" x14ac:dyDescent="0.3">
      <c r="P29" s="3"/>
      <c r="Q29" s="3"/>
      <c r="R29" s="3"/>
      <c r="S29" s="3"/>
      <c r="T29" s="3"/>
      <c r="U29" s="3"/>
    </row>
    <row r="30" spans="16:21" x14ac:dyDescent="0.3">
      <c r="P30" s="3"/>
      <c r="Q30" s="3"/>
      <c r="R30" s="3"/>
      <c r="S30" s="3"/>
      <c r="T30" s="3"/>
      <c r="U30" s="3"/>
    </row>
    <row r="31" spans="16:21" x14ac:dyDescent="0.3">
      <c r="P31" s="3"/>
      <c r="Q31" s="3"/>
      <c r="R31" s="3"/>
      <c r="S31" s="3"/>
      <c r="T31" s="3"/>
      <c r="U31" s="3"/>
    </row>
    <row r="32" spans="16:21" x14ac:dyDescent="0.3">
      <c r="P32" s="3"/>
      <c r="Q32" s="3"/>
      <c r="R32" s="3"/>
      <c r="S32" s="3"/>
      <c r="T32" s="3"/>
      <c r="U32" s="3"/>
    </row>
    <row r="33" spans="13:21" x14ac:dyDescent="0.3">
      <c r="M33" s="3"/>
      <c r="N33" s="3"/>
      <c r="O33" s="3"/>
      <c r="P33" s="3"/>
      <c r="Q33" s="3"/>
      <c r="R33" s="3"/>
      <c r="S33" s="3"/>
      <c r="T33" s="3"/>
      <c r="U33" s="3"/>
    </row>
    <row r="34" spans="13:21" x14ac:dyDescent="0.3">
      <c r="M34" s="3"/>
      <c r="N34" s="3"/>
      <c r="O34" s="3"/>
      <c r="P34" s="3"/>
      <c r="Q34" s="3"/>
      <c r="R34" s="3"/>
      <c r="S34" s="3"/>
      <c r="T34" s="3"/>
      <c r="U34" s="3"/>
    </row>
    <row r="35" spans="13:21" x14ac:dyDescent="0.3">
      <c r="M35" s="3"/>
      <c r="N35" s="3"/>
      <c r="O35" s="3"/>
      <c r="P35" s="3"/>
      <c r="Q35" s="3"/>
      <c r="R35" s="3"/>
      <c r="S35" s="3"/>
      <c r="T35" s="3"/>
      <c r="U35" s="3"/>
    </row>
    <row r="36" spans="13:21" x14ac:dyDescent="0.3">
      <c r="M36" s="3"/>
      <c r="N36" s="3"/>
      <c r="O36" s="3"/>
      <c r="P36" s="3"/>
      <c r="Q36" s="3"/>
      <c r="R36" s="3"/>
      <c r="S36" s="3"/>
      <c r="T36" s="3"/>
      <c r="U36" s="3"/>
    </row>
    <row r="37" spans="13:21" x14ac:dyDescent="0.3">
      <c r="M37" s="3"/>
      <c r="N37" s="3"/>
      <c r="O37" s="3"/>
      <c r="P37" s="3"/>
      <c r="Q37" s="3"/>
      <c r="R37" s="3"/>
      <c r="S37" s="3"/>
      <c r="T37" s="3"/>
      <c r="U37" s="3"/>
    </row>
    <row r="38" spans="13:21" x14ac:dyDescent="0.3">
      <c r="M38" s="3"/>
      <c r="N38" s="3"/>
      <c r="O38" s="3"/>
      <c r="P38" s="3"/>
      <c r="Q38" s="3"/>
      <c r="R38" s="3"/>
      <c r="S38" s="3"/>
      <c r="T38" s="3"/>
      <c r="U38" s="3"/>
    </row>
    <row r="39" spans="13:21" x14ac:dyDescent="0.3">
      <c r="M39" s="3"/>
      <c r="N39" s="3"/>
      <c r="O39" s="3"/>
      <c r="P39" s="3"/>
      <c r="Q39" s="3"/>
      <c r="R39" s="3"/>
      <c r="S39" s="3"/>
      <c r="T39" s="3"/>
      <c r="U39" s="3"/>
    </row>
    <row r="40" spans="13:21" x14ac:dyDescent="0.3">
      <c r="M40" s="3"/>
      <c r="N40" s="3"/>
      <c r="O40" s="3"/>
      <c r="P40" s="3"/>
      <c r="Q40" s="3"/>
      <c r="R40" s="3"/>
      <c r="S40" s="3"/>
      <c r="T40" s="3"/>
      <c r="U40" s="3"/>
    </row>
    <row r="41" spans="13:21" x14ac:dyDescent="0.3">
      <c r="M41" s="3"/>
      <c r="N41" s="3"/>
      <c r="O41" s="3"/>
      <c r="P41" s="3"/>
      <c r="Q41" s="3"/>
      <c r="R41" s="3"/>
      <c r="S41" s="3"/>
      <c r="T41" s="3"/>
      <c r="U41" s="3"/>
    </row>
    <row r="42" spans="13:21" x14ac:dyDescent="0.3">
      <c r="M42" s="3"/>
      <c r="N42" s="3"/>
      <c r="O42" s="3"/>
      <c r="P42" s="3"/>
      <c r="Q42" s="3"/>
      <c r="R42" s="3"/>
      <c r="S42" s="3"/>
      <c r="T42" s="3"/>
      <c r="U42" s="3"/>
    </row>
    <row r="43" spans="13:21" x14ac:dyDescent="0.3">
      <c r="M43" s="3"/>
      <c r="N43" s="3"/>
      <c r="O43" s="3"/>
      <c r="P43" s="3"/>
      <c r="Q43" s="3"/>
      <c r="R43" s="3"/>
      <c r="S43" s="3"/>
      <c r="T43" s="3"/>
      <c r="U43" s="3"/>
    </row>
    <row r="44" spans="13:21" x14ac:dyDescent="0.3">
      <c r="M44" s="3"/>
      <c r="N44" s="3"/>
      <c r="O44" s="3"/>
      <c r="P44" s="3"/>
      <c r="Q44" s="3"/>
      <c r="R44" s="3"/>
      <c r="S44" s="3"/>
      <c r="T44" s="3"/>
      <c r="U44" s="3"/>
    </row>
    <row r="45" spans="13:21" x14ac:dyDescent="0.3">
      <c r="M45" s="3"/>
      <c r="N45" s="3"/>
      <c r="O45" s="3"/>
      <c r="P45" s="3"/>
      <c r="Q45" s="3"/>
      <c r="R45" s="3"/>
      <c r="S45" s="3"/>
      <c r="T45" s="3"/>
      <c r="U45" s="3"/>
    </row>
    <row r="46" spans="13:21" x14ac:dyDescent="0.3">
      <c r="M46" s="3"/>
      <c r="N46" s="3"/>
      <c r="O46" s="3"/>
      <c r="P46" s="3"/>
      <c r="Q46" s="3"/>
      <c r="R46" s="3"/>
      <c r="S46" s="3"/>
      <c r="T46" s="3"/>
      <c r="U46" s="3"/>
    </row>
    <row r="47" spans="13:21" x14ac:dyDescent="0.3">
      <c r="M47" s="3"/>
      <c r="N47" s="3"/>
      <c r="O47" s="3"/>
      <c r="P47" s="3"/>
      <c r="Q47" s="3"/>
      <c r="R47" s="3"/>
      <c r="S47" s="3"/>
      <c r="T47" s="3"/>
      <c r="U47" s="3"/>
    </row>
    <row r="48" spans="13:21" x14ac:dyDescent="0.3">
      <c r="M48" s="3"/>
      <c r="N48" s="3"/>
      <c r="O48" s="3"/>
      <c r="P48" s="3"/>
      <c r="Q48" s="3"/>
      <c r="R48" s="3"/>
      <c r="S48" s="3"/>
      <c r="T48" s="3"/>
      <c r="U48" s="3"/>
    </row>
    <row r="49" spans="13:21" x14ac:dyDescent="0.3">
      <c r="M49" s="3"/>
      <c r="N49" s="3"/>
      <c r="O49" s="3"/>
      <c r="P49" s="3"/>
      <c r="Q49" s="3"/>
      <c r="R49" s="3"/>
      <c r="S49" s="3"/>
      <c r="T49" s="3"/>
      <c r="U49" s="3"/>
    </row>
    <row r="50" spans="13:21" x14ac:dyDescent="0.3">
      <c r="M50" s="3"/>
      <c r="N50" s="3"/>
      <c r="O50" s="3"/>
      <c r="P50" s="3"/>
      <c r="Q50" s="3"/>
      <c r="R50" s="3"/>
      <c r="S50" s="3"/>
      <c r="T50" s="3"/>
      <c r="U50" s="3"/>
    </row>
    <row r="51" spans="13:21" x14ac:dyDescent="0.3">
      <c r="M51" s="3"/>
      <c r="N51" s="3"/>
      <c r="O51" s="3"/>
      <c r="P51" s="3"/>
      <c r="Q51" s="3"/>
      <c r="R51" s="3"/>
      <c r="S51" s="3"/>
      <c r="T51" s="3"/>
      <c r="U51" s="3"/>
    </row>
    <row r="52" spans="13:21" x14ac:dyDescent="0.3">
      <c r="M52" s="3"/>
      <c r="N52" s="3"/>
      <c r="O52" s="3"/>
      <c r="P52" s="3"/>
      <c r="Q52" s="3"/>
      <c r="R52" s="3"/>
      <c r="S52" s="3"/>
      <c r="T52" s="3"/>
      <c r="U52" s="3"/>
    </row>
    <row r="53" spans="13:21" x14ac:dyDescent="0.3">
      <c r="M53" s="3"/>
      <c r="N53" s="3"/>
      <c r="O53" s="3"/>
      <c r="P53" s="3"/>
      <c r="Q53" s="3"/>
      <c r="R53" s="3"/>
      <c r="S53" s="3"/>
      <c r="T53" s="3"/>
      <c r="U53" s="3"/>
    </row>
    <row r="54" spans="13:21" x14ac:dyDescent="0.3">
      <c r="M54" s="3"/>
      <c r="N54" s="3"/>
      <c r="O54" s="3"/>
      <c r="P54" s="3"/>
      <c r="Q54" s="3"/>
      <c r="R54" s="3"/>
      <c r="S54" s="3"/>
      <c r="T54" s="3"/>
      <c r="U54" s="3"/>
    </row>
    <row r="55" spans="13:21" x14ac:dyDescent="0.3">
      <c r="M55" s="3"/>
      <c r="N55" s="3"/>
      <c r="O55" s="3"/>
      <c r="P55" s="3"/>
      <c r="Q55" s="3"/>
      <c r="R55" s="3"/>
      <c r="S55" s="3"/>
      <c r="T55" s="3"/>
      <c r="U55" s="3"/>
    </row>
    <row r="56" spans="13:21" x14ac:dyDescent="0.3">
      <c r="M56" s="3"/>
      <c r="N56" s="3"/>
      <c r="O56" s="3"/>
      <c r="P56" s="3"/>
      <c r="Q56" s="3"/>
      <c r="R56" s="3"/>
      <c r="S56" s="3"/>
      <c r="T56" s="3"/>
      <c r="U56" s="3"/>
    </row>
    <row r="57" spans="13:21" x14ac:dyDescent="0.3">
      <c r="M57" s="3"/>
      <c r="N57" s="3"/>
      <c r="O57" s="3"/>
      <c r="P57" s="3"/>
      <c r="Q57" s="3"/>
      <c r="R57" s="3"/>
      <c r="S57" s="3"/>
      <c r="T57" s="3"/>
      <c r="U57" s="3"/>
    </row>
    <row r="58" spans="13:21" x14ac:dyDescent="0.3">
      <c r="M58" s="3"/>
      <c r="N58" s="3"/>
      <c r="O58" s="3"/>
      <c r="P58" s="3"/>
      <c r="Q58" s="3"/>
      <c r="R58" s="3"/>
      <c r="S58" s="3"/>
      <c r="T58" s="3"/>
      <c r="U58" s="3"/>
    </row>
    <row r="59" spans="13:21" x14ac:dyDescent="0.3">
      <c r="M59" s="3"/>
      <c r="N59" s="3"/>
      <c r="O59" s="3"/>
      <c r="P59" s="3"/>
      <c r="Q59" s="3"/>
      <c r="R59" s="3"/>
      <c r="S59" s="3"/>
      <c r="T59" s="3"/>
      <c r="U59" s="3"/>
    </row>
    <row r="60" spans="13:21" x14ac:dyDescent="0.3">
      <c r="M60" s="3"/>
      <c r="N60" s="3"/>
      <c r="O60" s="3"/>
      <c r="P60" s="3"/>
      <c r="Q60" s="3"/>
      <c r="R60" s="3"/>
      <c r="S60" s="3"/>
      <c r="T60" s="3"/>
      <c r="U60" s="3"/>
    </row>
    <row r="61" spans="13:21" x14ac:dyDescent="0.3">
      <c r="M61" s="3"/>
      <c r="N61" s="3"/>
      <c r="O61" s="3"/>
      <c r="P61" s="3"/>
      <c r="Q61" s="3"/>
      <c r="R61" s="3"/>
      <c r="S61" s="3"/>
      <c r="T61" s="3"/>
      <c r="U61" s="3"/>
    </row>
    <row r="62" spans="13:21" x14ac:dyDescent="0.3">
      <c r="M62" s="3"/>
      <c r="N62" s="3"/>
      <c r="O62" s="3"/>
      <c r="P62" s="3"/>
      <c r="Q62" s="3"/>
      <c r="R62" s="3"/>
      <c r="S62" s="3"/>
      <c r="T62" s="3"/>
      <c r="U62" s="3"/>
    </row>
    <row r="63" spans="13:21" x14ac:dyDescent="0.3">
      <c r="M63" s="3"/>
      <c r="N63" s="3"/>
      <c r="O63" s="3"/>
      <c r="P63" s="3"/>
      <c r="Q63" s="3"/>
      <c r="R63" s="3"/>
      <c r="S63" s="3"/>
      <c r="T63" s="3"/>
      <c r="U63" s="3"/>
    </row>
    <row r="64" spans="13:21" x14ac:dyDescent="0.3">
      <c r="M64" s="3"/>
      <c r="N64" s="3"/>
      <c r="O64" s="3"/>
      <c r="P64" s="3"/>
      <c r="Q64" s="3"/>
      <c r="R64" s="3"/>
      <c r="S64" s="3"/>
      <c r="T64" s="3"/>
      <c r="U64" s="3"/>
    </row>
    <row r="65" spans="13:21" x14ac:dyDescent="0.3">
      <c r="M65" s="3"/>
      <c r="N65" s="3"/>
      <c r="O65" s="3"/>
      <c r="P65" s="3"/>
      <c r="Q65" s="3"/>
      <c r="R65" s="3"/>
      <c r="S65" s="3"/>
      <c r="T65" s="3"/>
      <c r="U65" s="3"/>
    </row>
    <row r="66" spans="13:21" x14ac:dyDescent="0.3">
      <c r="M66" s="3"/>
      <c r="N66" s="3"/>
      <c r="O66" s="3"/>
      <c r="P66" s="3"/>
      <c r="Q66" s="3"/>
      <c r="R66" s="3"/>
      <c r="S66" s="3"/>
      <c r="T66" s="3"/>
      <c r="U66" s="3"/>
    </row>
    <row r="67" spans="13:21" x14ac:dyDescent="0.3">
      <c r="M67" s="3"/>
      <c r="N67" s="3"/>
      <c r="O67" s="3"/>
      <c r="P67" s="3"/>
      <c r="Q67" s="3"/>
      <c r="R67" s="3"/>
      <c r="S67" s="3"/>
      <c r="T67" s="3"/>
      <c r="U67" s="3"/>
    </row>
    <row r="68" spans="13:21" x14ac:dyDescent="0.3">
      <c r="M68" s="3"/>
      <c r="N68" s="3"/>
      <c r="O68" s="3"/>
      <c r="P68" s="3"/>
      <c r="Q68" s="3"/>
      <c r="R68" s="3"/>
      <c r="S68" s="3"/>
      <c r="T68" s="3"/>
      <c r="U68" s="3"/>
    </row>
    <row r="69" spans="13:21" x14ac:dyDescent="0.3">
      <c r="M69" s="3"/>
      <c r="N69" s="3"/>
      <c r="O69" s="3"/>
      <c r="P69" s="3"/>
      <c r="Q69" s="3"/>
      <c r="R69" s="3"/>
      <c r="S69" s="3"/>
      <c r="T69" s="3"/>
      <c r="U69" s="3"/>
    </row>
    <row r="70" spans="13:21" x14ac:dyDescent="0.3">
      <c r="M70" s="3"/>
      <c r="N70" s="3"/>
      <c r="O70" s="3"/>
      <c r="P70" s="3"/>
      <c r="Q70" s="3"/>
      <c r="R70" s="3"/>
      <c r="S70" s="3"/>
      <c r="T70" s="3"/>
      <c r="U70" s="3"/>
    </row>
    <row r="71" spans="13:21" x14ac:dyDescent="0.3">
      <c r="M71" s="3"/>
      <c r="N71" s="3"/>
      <c r="O71" s="3"/>
      <c r="P71" s="3"/>
      <c r="Q71" s="3"/>
      <c r="R71" s="3"/>
      <c r="S71" s="3"/>
      <c r="T71" s="3"/>
      <c r="U71" s="3"/>
    </row>
    <row r="72" spans="13:21" x14ac:dyDescent="0.3">
      <c r="M72" s="3"/>
      <c r="N72" s="3"/>
      <c r="O72" s="3"/>
      <c r="P72" s="3"/>
      <c r="Q72" s="3"/>
      <c r="R72" s="3"/>
      <c r="S72" s="3"/>
      <c r="T72" s="3"/>
      <c r="U72" s="3"/>
    </row>
    <row r="73" spans="13:21" x14ac:dyDescent="0.3">
      <c r="M73" s="3"/>
      <c r="N73" s="3"/>
      <c r="O73" s="3"/>
      <c r="P73" s="3"/>
      <c r="Q73" s="3"/>
      <c r="R73" s="3"/>
      <c r="S73" s="3"/>
      <c r="T73" s="3"/>
      <c r="U73" s="3"/>
    </row>
    <row r="74" spans="13:21" x14ac:dyDescent="0.3">
      <c r="M74" s="3"/>
      <c r="N74" s="3"/>
      <c r="O74" s="3"/>
      <c r="P74" s="3"/>
      <c r="Q74" s="3"/>
      <c r="R74" s="3"/>
      <c r="S74" s="3"/>
      <c r="T74" s="3"/>
      <c r="U74" s="3"/>
    </row>
    <row r="75" spans="13:21" x14ac:dyDescent="0.3">
      <c r="M75" s="3"/>
      <c r="N75" s="3"/>
      <c r="O75" s="3"/>
      <c r="P75" s="3"/>
      <c r="Q75" s="3"/>
      <c r="R75" s="3"/>
      <c r="S75" s="3"/>
      <c r="T75" s="3"/>
      <c r="U75" s="3"/>
    </row>
    <row r="76" spans="13:21" x14ac:dyDescent="0.3">
      <c r="M76" s="3"/>
      <c r="N76" s="3"/>
      <c r="O76" s="3"/>
      <c r="P76" s="3"/>
      <c r="Q76" s="3"/>
      <c r="R76" s="3"/>
      <c r="S76" s="3"/>
      <c r="T76" s="3"/>
      <c r="U76" s="3"/>
    </row>
    <row r="77" spans="13:21" x14ac:dyDescent="0.3">
      <c r="M77" s="3"/>
      <c r="N77" s="3"/>
      <c r="O77" s="3"/>
      <c r="P77" s="3"/>
      <c r="Q77" s="3"/>
      <c r="R77" s="3"/>
      <c r="S77" s="3"/>
      <c r="T77" s="3"/>
      <c r="U77" s="3"/>
    </row>
    <row r="78" spans="13:21" x14ac:dyDescent="0.3">
      <c r="M78" s="3"/>
      <c r="N78" s="3"/>
      <c r="O78" s="3"/>
      <c r="P78" s="3"/>
      <c r="Q78" s="3"/>
      <c r="R78" s="3"/>
      <c r="S78" s="3"/>
      <c r="T78" s="3"/>
      <c r="U78" s="3"/>
    </row>
    <row r="79" spans="13:21" x14ac:dyDescent="0.3">
      <c r="M79" s="3"/>
      <c r="N79" s="3"/>
      <c r="O79" s="3"/>
      <c r="P79" s="3"/>
      <c r="Q79" s="3"/>
      <c r="R79" s="3"/>
      <c r="S79" s="3"/>
      <c r="T79" s="3"/>
      <c r="U79" s="3"/>
    </row>
    <row r="80" spans="13:21" x14ac:dyDescent="0.3">
      <c r="M80" s="3"/>
      <c r="N80" s="3"/>
      <c r="O80" s="3"/>
      <c r="P80" s="3"/>
      <c r="Q80" s="3"/>
      <c r="R80" s="3"/>
      <c r="S80" s="3"/>
      <c r="T80" s="3"/>
      <c r="U80" s="3"/>
    </row>
    <row r="81" spans="13:21" x14ac:dyDescent="0.3">
      <c r="M81" s="3"/>
      <c r="N81" s="3"/>
      <c r="O81" s="3"/>
      <c r="P81" s="3"/>
      <c r="Q81" s="3"/>
      <c r="R81" s="3"/>
      <c r="S81" s="3"/>
      <c r="T81" s="3"/>
      <c r="U81" s="3"/>
    </row>
    <row r="82" spans="13:21" x14ac:dyDescent="0.3">
      <c r="M82" s="3"/>
      <c r="N82" s="3"/>
      <c r="O82" s="3"/>
      <c r="P82" s="3"/>
      <c r="Q82" s="3"/>
      <c r="R82" s="3"/>
      <c r="S82" s="3"/>
      <c r="T82" s="3"/>
      <c r="U82" s="3"/>
    </row>
    <row r="83" spans="13:21" x14ac:dyDescent="0.3">
      <c r="M83" s="3"/>
      <c r="N83" s="3"/>
      <c r="O83" s="3"/>
      <c r="P83" s="3"/>
      <c r="Q83" s="3"/>
      <c r="R83" s="3"/>
      <c r="S83" s="3"/>
      <c r="T83" s="3"/>
      <c r="U83" s="3"/>
    </row>
    <row r="84" spans="13:21" x14ac:dyDescent="0.3">
      <c r="M84" s="3"/>
      <c r="N84" s="3"/>
      <c r="O84" s="3"/>
      <c r="P84" s="3"/>
      <c r="Q84" s="3"/>
      <c r="R84" s="3"/>
      <c r="S84" s="3"/>
      <c r="T84" s="3"/>
      <c r="U84" s="3"/>
    </row>
    <row r="85" spans="13:21" x14ac:dyDescent="0.3">
      <c r="M85" s="3"/>
      <c r="N85" s="3"/>
      <c r="O85" s="3"/>
      <c r="P85" s="3"/>
      <c r="Q85" s="3"/>
      <c r="R85" s="3"/>
      <c r="S85" s="3"/>
      <c r="T85" s="3"/>
      <c r="U85" s="3"/>
    </row>
    <row r="86" spans="13:21" x14ac:dyDescent="0.3">
      <c r="M86" s="3"/>
      <c r="N86" s="3"/>
      <c r="O86" s="3"/>
      <c r="P86" s="3"/>
      <c r="Q86" s="3"/>
      <c r="R86" s="3"/>
      <c r="S86" s="3"/>
      <c r="T86" s="3"/>
      <c r="U86" s="3"/>
    </row>
    <row r="87" spans="13:21" x14ac:dyDescent="0.3">
      <c r="M87" s="3"/>
      <c r="N87" s="3"/>
      <c r="O87" s="3"/>
      <c r="P87" s="3"/>
      <c r="Q87" s="3"/>
      <c r="R87" s="3"/>
      <c r="S87" s="3"/>
      <c r="T87" s="3"/>
      <c r="U87" s="3"/>
    </row>
    <row r="88" spans="13:21" x14ac:dyDescent="0.3">
      <c r="M88" s="3"/>
      <c r="N88" s="3"/>
      <c r="O88" s="3"/>
      <c r="P88" s="3"/>
      <c r="Q88" s="3"/>
      <c r="R88" s="3"/>
      <c r="S88" s="3"/>
      <c r="T88" s="3"/>
      <c r="U88" s="3"/>
    </row>
    <row r="89" spans="13:21" x14ac:dyDescent="0.3">
      <c r="M89" s="3"/>
      <c r="N89" s="3"/>
      <c r="O89" s="3"/>
      <c r="P89" s="3"/>
      <c r="Q89" s="3"/>
      <c r="R89" s="3"/>
      <c r="S89" s="3"/>
      <c r="T89" s="3"/>
      <c r="U89" s="3"/>
    </row>
    <row r="90" spans="13:21" x14ac:dyDescent="0.3">
      <c r="M90" s="3"/>
      <c r="N90" s="3"/>
      <c r="O90" s="3"/>
      <c r="P90" s="3"/>
      <c r="Q90" s="3"/>
      <c r="R90" s="3"/>
      <c r="S90" s="3"/>
      <c r="T90" s="3"/>
      <c r="U90" s="3"/>
    </row>
    <row r="91" spans="13:21" x14ac:dyDescent="0.3">
      <c r="M91" s="3"/>
      <c r="N91" s="3"/>
      <c r="O91" s="3"/>
      <c r="P91" s="3"/>
      <c r="Q91" s="3"/>
      <c r="R91" s="3"/>
      <c r="S91" s="3"/>
      <c r="T91" s="3"/>
      <c r="U91" s="3"/>
    </row>
    <row r="92" spans="13:21" x14ac:dyDescent="0.3">
      <c r="M92" s="3"/>
      <c r="N92" s="3"/>
      <c r="O92" s="3"/>
      <c r="P92" s="3"/>
      <c r="Q92" s="3"/>
      <c r="R92" s="3"/>
      <c r="S92" s="3"/>
      <c r="T92" s="3"/>
      <c r="U92" s="3"/>
    </row>
    <row r="93" spans="13:21" x14ac:dyDescent="0.3">
      <c r="M93" s="3"/>
      <c r="N93" s="3"/>
      <c r="O93" s="3"/>
      <c r="P93" s="3"/>
      <c r="Q93" s="3"/>
      <c r="R93" s="3"/>
      <c r="S93" s="3"/>
      <c r="T93" s="3"/>
      <c r="U93" s="3"/>
    </row>
    <row r="94" spans="13:21" x14ac:dyDescent="0.3">
      <c r="M94" s="3"/>
      <c r="N94" s="3"/>
      <c r="O94" s="3"/>
      <c r="P94" s="3"/>
      <c r="Q94" s="3"/>
      <c r="R94" s="3"/>
      <c r="S94" s="3"/>
      <c r="T94" s="3"/>
      <c r="U94" s="3"/>
    </row>
    <row r="95" spans="13:21" x14ac:dyDescent="0.3">
      <c r="M95" s="3"/>
      <c r="N95" s="3"/>
      <c r="O95" s="3"/>
      <c r="P95" s="3"/>
      <c r="Q95" s="3"/>
      <c r="R95" s="3"/>
      <c r="S95" s="3"/>
      <c r="T95" s="3"/>
      <c r="U95" s="3"/>
    </row>
    <row r="96" spans="13:21" x14ac:dyDescent="0.3">
      <c r="M96" s="3"/>
      <c r="N96" s="3"/>
      <c r="O96" s="3"/>
      <c r="P96" s="3"/>
      <c r="Q96" s="3"/>
      <c r="R96" s="3"/>
      <c r="S96" s="3"/>
      <c r="T96" s="3"/>
      <c r="U96" s="3"/>
    </row>
    <row r="97" spans="13:21" x14ac:dyDescent="0.3">
      <c r="M97" s="3"/>
      <c r="N97" s="3"/>
      <c r="O97" s="3"/>
      <c r="P97" s="3"/>
      <c r="Q97" s="3"/>
      <c r="R97" s="3"/>
      <c r="S97" s="3"/>
      <c r="T97" s="3"/>
      <c r="U97" s="3"/>
    </row>
    <row r="98" spans="13:21" x14ac:dyDescent="0.3">
      <c r="M98" s="3"/>
      <c r="N98" s="3"/>
      <c r="O98" s="3"/>
      <c r="P98" s="3"/>
      <c r="Q98" s="3"/>
      <c r="R98" s="3"/>
      <c r="S98" s="3"/>
      <c r="T98" s="3"/>
      <c r="U98" s="3"/>
    </row>
    <row r="99" spans="13:21" x14ac:dyDescent="0.3">
      <c r="M99" s="3"/>
      <c r="N99" s="3"/>
      <c r="O99" s="3"/>
      <c r="P99" s="3"/>
      <c r="Q99" s="3"/>
      <c r="R99" s="3"/>
      <c r="S99" s="3"/>
      <c r="T99" s="3"/>
      <c r="U99" s="3"/>
    </row>
    <row r="100" spans="13:21" x14ac:dyDescent="0.3">
      <c r="M100" s="3"/>
      <c r="N100" s="3"/>
      <c r="O100" s="3"/>
      <c r="P100" s="3"/>
      <c r="Q100" s="3"/>
      <c r="R100" s="3"/>
      <c r="S100" s="3"/>
      <c r="T100" s="3"/>
      <c r="U100" s="3"/>
    </row>
    <row r="101" spans="13:21" x14ac:dyDescent="0.3">
      <c r="M101" s="3"/>
      <c r="N101" s="3"/>
      <c r="O101" s="3"/>
      <c r="P101" s="3"/>
      <c r="Q101" s="3"/>
      <c r="R101" s="3"/>
      <c r="S101" s="3"/>
      <c r="T101" s="3"/>
      <c r="U101" s="3"/>
    </row>
    <row r="102" spans="13:21" x14ac:dyDescent="0.3">
      <c r="M102" s="3"/>
      <c r="N102" s="3"/>
      <c r="O102" s="3"/>
      <c r="P102" s="3"/>
      <c r="Q102" s="3"/>
      <c r="R102" s="3"/>
      <c r="S102" s="3"/>
      <c r="T102" s="3"/>
      <c r="U102" s="3"/>
    </row>
    <row r="103" spans="13:21" x14ac:dyDescent="0.3">
      <c r="M103" s="3"/>
      <c r="N103" s="3"/>
      <c r="O103" s="3"/>
      <c r="P103" s="3"/>
      <c r="Q103" s="3"/>
      <c r="R103" s="3"/>
      <c r="S103" s="3"/>
      <c r="T103" s="3"/>
      <c r="U103" s="3"/>
    </row>
    <row r="104" spans="13:21" x14ac:dyDescent="0.3">
      <c r="M104" s="3"/>
      <c r="N104" s="3"/>
      <c r="O104" s="3"/>
      <c r="P104" s="3"/>
      <c r="Q104" s="3"/>
      <c r="R104" s="3"/>
      <c r="S104" s="3"/>
      <c r="T104" s="3"/>
      <c r="U104" s="3"/>
    </row>
    <row r="105" spans="13:21" x14ac:dyDescent="0.3">
      <c r="M105" s="3"/>
      <c r="N105" s="3"/>
      <c r="O105" s="3"/>
      <c r="P105" s="3"/>
      <c r="Q105" s="3"/>
      <c r="R105" s="3"/>
      <c r="S105" s="3"/>
      <c r="T105" s="3"/>
      <c r="U105" s="3"/>
    </row>
    <row r="106" spans="13:21" x14ac:dyDescent="0.3">
      <c r="M106" s="3"/>
      <c r="N106" s="3"/>
      <c r="O106" s="3"/>
      <c r="P106" s="3"/>
      <c r="Q106" s="3"/>
      <c r="R106" s="3"/>
      <c r="S106" s="3"/>
      <c r="T106" s="3"/>
      <c r="U106" s="3"/>
    </row>
    <row r="107" spans="13:21" x14ac:dyDescent="0.3">
      <c r="M107" s="3"/>
      <c r="N107" s="3"/>
      <c r="O107" s="3"/>
      <c r="P107" s="3"/>
      <c r="Q107" s="3"/>
      <c r="R107" s="3"/>
      <c r="S107" s="3"/>
      <c r="T107" s="3"/>
      <c r="U107" s="3"/>
    </row>
    <row r="108" spans="13:21" x14ac:dyDescent="0.3">
      <c r="M108" s="3"/>
      <c r="N108" s="3"/>
      <c r="O108" s="3"/>
      <c r="P108" s="3"/>
      <c r="Q108" s="3"/>
      <c r="R108" s="3"/>
      <c r="S108" s="3"/>
      <c r="T108" s="3"/>
      <c r="U108" s="3"/>
    </row>
    <row r="109" spans="13:21" x14ac:dyDescent="0.3">
      <c r="M109" s="3"/>
      <c r="N109" s="3"/>
      <c r="O109" s="3"/>
      <c r="P109" s="3"/>
      <c r="Q109" s="3"/>
      <c r="R109" s="3"/>
      <c r="S109" s="3"/>
      <c r="T109" s="3"/>
      <c r="U109" s="3"/>
    </row>
    <row r="110" spans="13:21" x14ac:dyDescent="0.3">
      <c r="M110" s="3"/>
      <c r="N110" s="3"/>
      <c r="O110" s="3"/>
      <c r="P110" s="3"/>
      <c r="Q110" s="3"/>
      <c r="R110" s="3"/>
      <c r="S110" s="3"/>
      <c r="T110" s="3"/>
      <c r="U110" s="3"/>
    </row>
    <row r="111" spans="13:21" x14ac:dyDescent="0.3">
      <c r="M111" s="3"/>
      <c r="N111" s="3"/>
      <c r="O111" s="3"/>
      <c r="P111" s="3"/>
      <c r="Q111" s="3"/>
      <c r="R111" s="3"/>
      <c r="S111" s="3"/>
      <c r="T111" s="3"/>
      <c r="U111" s="3"/>
    </row>
    <row r="112" spans="13:21" x14ac:dyDescent="0.3">
      <c r="M112" s="3"/>
      <c r="N112" s="3"/>
      <c r="O112" s="3"/>
      <c r="P112" s="3"/>
      <c r="Q112" s="3"/>
      <c r="R112" s="3"/>
      <c r="S112" s="3"/>
      <c r="T112" s="3"/>
      <c r="U112" s="3"/>
    </row>
    <row r="113" spans="13:21" x14ac:dyDescent="0.3">
      <c r="M113" s="3"/>
      <c r="N113" s="3"/>
      <c r="O113" s="3"/>
      <c r="P113" s="3"/>
      <c r="Q113" s="3"/>
      <c r="R113" s="3"/>
      <c r="S113" s="3"/>
      <c r="T113" s="3"/>
      <c r="U113" s="3"/>
    </row>
    <row r="114" spans="13:21" x14ac:dyDescent="0.3">
      <c r="M114" s="3"/>
      <c r="N114" s="3"/>
      <c r="O114" s="3"/>
      <c r="P114" s="3"/>
      <c r="Q114" s="3"/>
      <c r="R114" s="3"/>
      <c r="S114" s="3"/>
      <c r="T114" s="3"/>
      <c r="U114" s="3"/>
    </row>
    <row r="115" spans="13:21" x14ac:dyDescent="0.3">
      <c r="M115" s="3"/>
      <c r="N115" s="3"/>
      <c r="O115" s="3"/>
      <c r="P115" s="3"/>
      <c r="Q115" s="3"/>
      <c r="R115" s="3"/>
      <c r="S115" s="3"/>
      <c r="T115" s="3"/>
      <c r="U115" s="3"/>
    </row>
    <row r="116" spans="13:21" x14ac:dyDescent="0.3">
      <c r="M116" s="3"/>
      <c r="N116" s="3"/>
      <c r="O116" s="3"/>
      <c r="P116" s="3"/>
      <c r="Q116" s="3"/>
      <c r="R116" s="3"/>
      <c r="S116" s="3"/>
      <c r="T116" s="3"/>
      <c r="U116" s="3"/>
    </row>
    <row r="117" spans="13:21" x14ac:dyDescent="0.3">
      <c r="M117" s="3"/>
      <c r="N117" s="3"/>
      <c r="O117" s="3"/>
      <c r="P117" s="3"/>
      <c r="Q117" s="3"/>
      <c r="R117" s="3"/>
      <c r="S117" s="3"/>
      <c r="T117" s="3"/>
      <c r="U117" s="3"/>
    </row>
    <row r="118" spans="13:21" x14ac:dyDescent="0.3">
      <c r="M118" s="3"/>
      <c r="N118" s="3"/>
      <c r="O118" s="3"/>
      <c r="P118" s="3"/>
      <c r="Q118" s="3"/>
      <c r="R118" s="3"/>
      <c r="S118" s="3"/>
      <c r="T118" s="3"/>
      <c r="U118" s="3"/>
    </row>
    <row r="119" spans="13:21" x14ac:dyDescent="0.3">
      <c r="M119" s="3"/>
      <c r="N119" s="3"/>
      <c r="O119" s="3"/>
      <c r="P119" s="3"/>
      <c r="Q119" s="3"/>
      <c r="R119" s="3"/>
      <c r="S119" s="3"/>
      <c r="T119" s="3"/>
      <c r="U119" s="3"/>
    </row>
    <row r="120" spans="13:21" x14ac:dyDescent="0.3">
      <c r="M120" s="3"/>
      <c r="N120" s="3"/>
      <c r="O120" s="3"/>
      <c r="P120" s="3"/>
      <c r="Q120" s="3"/>
      <c r="R120" s="3"/>
      <c r="S120" s="3"/>
      <c r="T120" s="3"/>
      <c r="U120" s="3"/>
    </row>
    <row r="121" spans="13:21" x14ac:dyDescent="0.3">
      <c r="M121" s="3"/>
      <c r="N121" s="3"/>
      <c r="O121" s="3"/>
      <c r="P121" s="3"/>
      <c r="Q121" s="3"/>
      <c r="R121" s="3"/>
      <c r="S121" s="3"/>
      <c r="T121" s="3"/>
      <c r="U121" s="3"/>
    </row>
    <row r="122" spans="13:21" x14ac:dyDescent="0.3">
      <c r="M122" s="3"/>
      <c r="N122" s="3"/>
      <c r="O122" s="3"/>
      <c r="P122" s="3"/>
      <c r="Q122" s="3"/>
      <c r="R122" s="3"/>
      <c r="S122" s="3"/>
      <c r="T122" s="3"/>
      <c r="U122" s="3"/>
    </row>
    <row r="123" spans="13:21" x14ac:dyDescent="0.3">
      <c r="M123" s="3"/>
      <c r="N123" s="3"/>
      <c r="O123" s="3"/>
      <c r="P123" s="3"/>
      <c r="Q123" s="3"/>
      <c r="R123" s="3"/>
      <c r="S123" s="3"/>
      <c r="T123" s="3"/>
      <c r="U123" s="3"/>
    </row>
    <row r="124" spans="13:21" x14ac:dyDescent="0.3">
      <c r="M124" s="3"/>
      <c r="N124" s="3"/>
      <c r="O124" s="3"/>
      <c r="P124" s="3"/>
      <c r="Q124" s="3"/>
      <c r="R124" s="3"/>
      <c r="S124" s="3"/>
      <c r="T124" s="3"/>
      <c r="U124" s="3"/>
    </row>
    <row r="125" spans="13:21" x14ac:dyDescent="0.3">
      <c r="M125" s="3"/>
      <c r="N125" s="3"/>
      <c r="O125" s="3"/>
      <c r="P125" s="3"/>
      <c r="Q125" s="3"/>
      <c r="R125" s="3"/>
      <c r="S125" s="3"/>
      <c r="T125" s="3"/>
      <c r="U125" s="3"/>
    </row>
    <row r="126" spans="13:21" x14ac:dyDescent="0.3">
      <c r="M126" s="3"/>
      <c r="N126" s="3"/>
      <c r="O126" s="3"/>
      <c r="P126" s="3"/>
      <c r="Q126" s="3"/>
      <c r="R126" s="3"/>
      <c r="S126" s="3"/>
      <c r="T126" s="3"/>
      <c r="U126" s="3"/>
    </row>
    <row r="127" spans="13:21" x14ac:dyDescent="0.3">
      <c r="M127" s="3"/>
      <c r="N127" s="3"/>
      <c r="O127" s="3"/>
      <c r="P127" s="3"/>
      <c r="Q127" s="3"/>
      <c r="R127" s="3"/>
      <c r="S127" s="3"/>
      <c r="T127" s="3"/>
      <c r="U127" s="3"/>
    </row>
    <row r="128" spans="13:21" x14ac:dyDescent="0.3">
      <c r="M128" s="3"/>
      <c r="N128" s="3"/>
      <c r="O128" s="3"/>
      <c r="P128" s="3"/>
      <c r="Q128" s="3"/>
      <c r="R128" s="3"/>
      <c r="S128" s="3"/>
      <c r="T128" s="3"/>
      <c r="U128" s="3"/>
    </row>
    <row r="129" spans="13:21" x14ac:dyDescent="0.3">
      <c r="M129" s="3"/>
      <c r="N129" s="3"/>
      <c r="O129" s="3"/>
      <c r="P129" s="3"/>
      <c r="Q129" s="3"/>
      <c r="R129" s="3"/>
      <c r="S129" s="3"/>
      <c r="T129" s="3"/>
      <c r="U129" s="3"/>
    </row>
    <row r="130" spans="13:21" x14ac:dyDescent="0.3">
      <c r="M130" s="3"/>
      <c r="N130" s="3"/>
      <c r="O130" s="3"/>
      <c r="P130" s="3"/>
      <c r="Q130" s="3"/>
      <c r="R130" s="3"/>
      <c r="S130" s="3"/>
      <c r="T130" s="3"/>
      <c r="U130" s="3"/>
    </row>
    <row r="131" spans="13:21" x14ac:dyDescent="0.3">
      <c r="M131" s="3"/>
      <c r="N131" s="3"/>
      <c r="O131" s="3"/>
      <c r="P131" s="3"/>
      <c r="Q131" s="3"/>
      <c r="R131" s="3"/>
      <c r="S131" s="3"/>
      <c r="T131" s="3"/>
      <c r="U131" s="3"/>
    </row>
    <row r="132" spans="13:21" x14ac:dyDescent="0.3">
      <c r="M132" s="3"/>
      <c r="N132" s="3"/>
      <c r="O132" s="3"/>
      <c r="P132" s="3"/>
      <c r="Q132" s="3"/>
      <c r="R132" s="3"/>
      <c r="S132" s="3"/>
      <c r="T132" s="3"/>
      <c r="U132" s="3"/>
    </row>
    <row r="133" spans="13:21" x14ac:dyDescent="0.3">
      <c r="M133" s="3"/>
      <c r="N133" s="3"/>
      <c r="O133" s="3"/>
      <c r="P133" s="3"/>
      <c r="Q133" s="3"/>
      <c r="R133" s="3"/>
      <c r="S133" s="3"/>
      <c r="T133" s="3"/>
      <c r="U133" s="3"/>
    </row>
    <row r="134" spans="13:21" x14ac:dyDescent="0.3">
      <c r="M134" s="3"/>
      <c r="N134" s="3"/>
      <c r="O134" s="3"/>
      <c r="P134" s="3"/>
      <c r="Q134" s="3"/>
      <c r="R134" s="3"/>
      <c r="S134" s="3"/>
      <c r="T134" s="3"/>
      <c r="U134" s="3"/>
    </row>
    <row r="135" spans="13:21" x14ac:dyDescent="0.3">
      <c r="M135" s="3"/>
      <c r="N135" s="3"/>
      <c r="O135" s="3"/>
      <c r="P135" s="3"/>
      <c r="Q135" s="3"/>
      <c r="R135" s="3"/>
      <c r="S135" s="3"/>
      <c r="T135" s="3"/>
      <c r="U135" s="3"/>
    </row>
    <row r="136" spans="13:21" x14ac:dyDescent="0.3">
      <c r="M136" s="3"/>
      <c r="N136" s="3"/>
      <c r="O136" s="3"/>
      <c r="P136" s="3"/>
      <c r="Q136" s="3"/>
      <c r="R136" s="3"/>
      <c r="S136" s="3"/>
      <c r="T136" s="3"/>
      <c r="U136" s="3"/>
    </row>
    <row r="137" spans="13:21" x14ac:dyDescent="0.3">
      <c r="M137" s="3"/>
      <c r="N137" s="3"/>
      <c r="O137" s="3"/>
      <c r="P137" s="3"/>
      <c r="Q137" s="3"/>
      <c r="R137" s="3"/>
      <c r="S137" s="3"/>
      <c r="T137" s="3"/>
      <c r="U137" s="3"/>
    </row>
    <row r="138" spans="13:21" x14ac:dyDescent="0.3">
      <c r="M138" s="3"/>
      <c r="N138" s="3"/>
      <c r="O138" s="3"/>
      <c r="P138" s="3"/>
      <c r="Q138" s="3"/>
      <c r="R138" s="3"/>
      <c r="S138" s="3"/>
      <c r="T138" s="3"/>
      <c r="U138" s="3"/>
    </row>
    <row r="139" spans="13:21" x14ac:dyDescent="0.3">
      <c r="M139" s="3"/>
      <c r="N139" s="3"/>
      <c r="O139" s="3"/>
      <c r="P139" s="3"/>
      <c r="Q139" s="3"/>
      <c r="R139" s="3"/>
      <c r="S139" s="3"/>
      <c r="T139" s="3"/>
      <c r="U139" s="3"/>
    </row>
    <row r="140" spans="13:21" x14ac:dyDescent="0.3">
      <c r="M140" s="3"/>
      <c r="N140" s="3"/>
      <c r="O140" s="3"/>
      <c r="P140" s="3"/>
      <c r="Q140" s="3"/>
      <c r="R140" s="3"/>
      <c r="S140" s="3"/>
      <c r="T140" s="3"/>
      <c r="U140" s="3"/>
    </row>
    <row r="141" spans="13:21" x14ac:dyDescent="0.3">
      <c r="M141" s="3"/>
      <c r="N141" s="3"/>
      <c r="O141" s="3"/>
      <c r="P141" s="3"/>
      <c r="Q141" s="3"/>
      <c r="R141" s="3"/>
      <c r="S141" s="3"/>
      <c r="T141" s="3"/>
      <c r="U141" s="3"/>
    </row>
    <row r="142" spans="13:21" x14ac:dyDescent="0.3">
      <c r="M142" s="3"/>
      <c r="N142" s="3"/>
      <c r="O142" s="3"/>
      <c r="P142" s="3"/>
      <c r="Q142" s="3"/>
      <c r="R142" s="3"/>
      <c r="S142" s="3"/>
      <c r="T142" s="3"/>
      <c r="U142" s="3"/>
    </row>
    <row r="143" spans="13:21" x14ac:dyDescent="0.3">
      <c r="M143" s="3"/>
      <c r="N143" s="3"/>
      <c r="O143" s="3"/>
      <c r="P143" s="3"/>
      <c r="Q143" s="3"/>
      <c r="R143" s="3"/>
      <c r="S143" s="3"/>
      <c r="T143" s="3"/>
      <c r="U143" s="3"/>
    </row>
    <row r="144" spans="13:21" x14ac:dyDescent="0.3">
      <c r="M144" s="3"/>
      <c r="N144" s="3"/>
      <c r="O144" s="3"/>
      <c r="P144" s="3"/>
      <c r="Q144" s="3"/>
      <c r="R144" s="3"/>
      <c r="S144" s="3"/>
      <c r="T144" s="3"/>
      <c r="U144" s="3"/>
    </row>
    <row r="145" spans="13:21" x14ac:dyDescent="0.3">
      <c r="M145" s="3"/>
      <c r="N145" s="3"/>
      <c r="O145" s="3"/>
      <c r="P145" s="3"/>
      <c r="Q145" s="3"/>
      <c r="R145" s="3"/>
      <c r="S145" s="3"/>
      <c r="T145" s="3"/>
      <c r="U145" s="3"/>
    </row>
    <row r="146" spans="13:21" x14ac:dyDescent="0.3">
      <c r="M146" s="3"/>
      <c r="N146" s="3"/>
      <c r="O146" s="3"/>
      <c r="P146" s="3"/>
      <c r="Q146" s="3"/>
      <c r="R146" s="3"/>
      <c r="S146" s="3"/>
      <c r="T146" s="3"/>
      <c r="U146" s="3"/>
    </row>
    <row r="147" spans="13:21" x14ac:dyDescent="0.3">
      <c r="M147" s="3"/>
      <c r="N147" s="3"/>
      <c r="O147" s="3"/>
      <c r="P147" s="3"/>
      <c r="Q147" s="3"/>
      <c r="R147" s="3"/>
      <c r="S147" s="3"/>
      <c r="T147" s="3"/>
      <c r="U147" s="3"/>
    </row>
    <row r="148" spans="13:21" x14ac:dyDescent="0.3">
      <c r="M148" s="3"/>
      <c r="N148" s="3"/>
      <c r="O148" s="3"/>
      <c r="P148" s="3"/>
      <c r="Q148" s="3"/>
      <c r="R148" s="3"/>
      <c r="S148" s="3"/>
      <c r="T148" s="3"/>
      <c r="U148" s="3"/>
    </row>
    <row r="149" spans="13:21" x14ac:dyDescent="0.3">
      <c r="M149" s="3"/>
      <c r="N149" s="3"/>
      <c r="O149" s="3"/>
      <c r="P149" s="3"/>
      <c r="Q149" s="3"/>
      <c r="R149" s="3"/>
      <c r="S149" s="3"/>
      <c r="T149" s="3"/>
      <c r="U149" s="3"/>
    </row>
    <row r="150" spans="13:21" x14ac:dyDescent="0.3">
      <c r="M150" s="3"/>
      <c r="N150" s="3"/>
      <c r="O150" s="3"/>
      <c r="P150" s="3"/>
      <c r="Q150" s="3"/>
      <c r="R150" s="3"/>
      <c r="S150" s="3"/>
      <c r="T150" s="3"/>
      <c r="U150" s="3"/>
    </row>
    <row r="151" spans="13:21" x14ac:dyDescent="0.3">
      <c r="M151" s="3"/>
      <c r="N151" s="3"/>
      <c r="O151" s="3"/>
      <c r="P151" s="3"/>
      <c r="Q151" s="3"/>
      <c r="R151" s="3"/>
      <c r="S151" s="3"/>
      <c r="T151" s="3"/>
      <c r="U151" s="3"/>
    </row>
    <row r="152" spans="13:21" x14ac:dyDescent="0.3">
      <c r="M152" s="3"/>
      <c r="N152" s="3"/>
      <c r="O152" s="3"/>
      <c r="P152" s="3"/>
      <c r="Q152" s="3"/>
      <c r="R152" s="3"/>
      <c r="S152" s="3"/>
      <c r="T152" s="3"/>
      <c r="U152" s="3"/>
    </row>
    <row r="153" spans="13:21" x14ac:dyDescent="0.3">
      <c r="M153" s="3"/>
      <c r="N153" s="3"/>
      <c r="O153" s="3"/>
      <c r="P153" s="3"/>
      <c r="Q153" s="3"/>
      <c r="R153" s="3"/>
      <c r="S153" s="3"/>
      <c r="T153" s="3"/>
      <c r="U153" s="3"/>
    </row>
    <row r="154" spans="13:21" x14ac:dyDescent="0.3">
      <c r="M154" s="3"/>
      <c r="N154" s="3"/>
      <c r="O154" s="3"/>
      <c r="P154" s="3"/>
      <c r="Q154" s="3"/>
      <c r="R154" s="3"/>
      <c r="S154" s="3"/>
      <c r="T154" s="3"/>
      <c r="U154" s="3"/>
    </row>
    <row r="155" spans="13:21" x14ac:dyDescent="0.3">
      <c r="M155" s="3"/>
      <c r="N155" s="3"/>
      <c r="O155" s="3"/>
      <c r="P155" s="3"/>
      <c r="Q155" s="3"/>
      <c r="R155" s="3"/>
      <c r="S155" s="3"/>
      <c r="T155" s="3"/>
      <c r="U155" s="3"/>
    </row>
    <row r="156" spans="13:21" x14ac:dyDescent="0.3">
      <c r="M156" s="3"/>
      <c r="N156" s="3"/>
      <c r="O156" s="3"/>
      <c r="P156" s="3"/>
      <c r="Q156" s="3"/>
      <c r="R156" s="3"/>
      <c r="S156" s="3"/>
      <c r="T156" s="3"/>
      <c r="U156" s="3"/>
    </row>
    <row r="157" spans="13:21" x14ac:dyDescent="0.3">
      <c r="M157" s="3"/>
      <c r="N157" s="3"/>
      <c r="O157" s="3"/>
      <c r="P157" s="3"/>
      <c r="Q157" s="3"/>
      <c r="R157" s="3"/>
      <c r="S157" s="3"/>
      <c r="T157" s="3"/>
      <c r="U157" s="3"/>
    </row>
    <row r="158" spans="13:21" x14ac:dyDescent="0.3">
      <c r="M158" s="3"/>
      <c r="N158" s="3"/>
      <c r="O158" s="3"/>
      <c r="P158" s="3"/>
      <c r="Q158" s="3"/>
      <c r="R158" s="3"/>
      <c r="S158" s="3"/>
      <c r="T158" s="3"/>
      <c r="U158" s="3"/>
    </row>
    <row r="159" spans="13:21" x14ac:dyDescent="0.3">
      <c r="M159" s="3"/>
      <c r="N159" s="3"/>
      <c r="O159" s="3"/>
      <c r="P159" s="3"/>
      <c r="Q159" s="3"/>
      <c r="R159" s="3"/>
      <c r="S159" s="3"/>
      <c r="T159" s="3"/>
      <c r="U159" s="3"/>
    </row>
    <row r="160" spans="13:21" x14ac:dyDescent="0.3">
      <c r="M160" s="3"/>
      <c r="N160" s="3"/>
      <c r="O160" s="3"/>
      <c r="P160" s="3"/>
      <c r="Q160" s="3"/>
      <c r="R160" s="3"/>
      <c r="S160" s="3"/>
      <c r="T160" s="3"/>
      <c r="U160" s="3"/>
    </row>
    <row r="161" spans="13:21" x14ac:dyDescent="0.3">
      <c r="M161" s="3"/>
      <c r="N161" s="3"/>
      <c r="O161" s="3"/>
      <c r="P161" s="3"/>
      <c r="Q161" s="3"/>
      <c r="R161" s="3"/>
      <c r="S161" s="3"/>
      <c r="T161" s="3"/>
      <c r="U161" s="3"/>
    </row>
    <row r="162" spans="13:21" x14ac:dyDescent="0.3">
      <c r="M162" s="3"/>
      <c r="N162" s="3"/>
      <c r="O162" s="3"/>
      <c r="P162" s="3"/>
      <c r="Q162" s="3"/>
      <c r="R162" s="3"/>
      <c r="S162" s="3"/>
      <c r="T162" s="3"/>
      <c r="U162" s="3"/>
    </row>
    <row r="163" spans="13:21" x14ac:dyDescent="0.3">
      <c r="M163" s="3"/>
      <c r="N163" s="3"/>
      <c r="O163" s="3"/>
      <c r="P163" s="3"/>
      <c r="Q163" s="3"/>
      <c r="R163" s="3"/>
      <c r="S163" s="3"/>
      <c r="T163" s="3"/>
      <c r="U163" s="3"/>
    </row>
    <row r="164" spans="13:21" x14ac:dyDescent="0.3">
      <c r="M164" s="3"/>
      <c r="N164" s="3"/>
      <c r="O164" s="3"/>
      <c r="P164" s="3"/>
      <c r="Q164" s="3"/>
      <c r="R164" s="3"/>
      <c r="S164" s="3"/>
      <c r="T164" s="3"/>
      <c r="U164" s="3"/>
    </row>
    <row r="165" spans="13:21" x14ac:dyDescent="0.3">
      <c r="M165" s="3"/>
      <c r="N165" s="3"/>
      <c r="O165" s="3"/>
      <c r="P165" s="3"/>
      <c r="Q165" s="3"/>
      <c r="R165" s="3"/>
      <c r="S165" s="3"/>
      <c r="T165" s="3"/>
      <c r="U165" s="3"/>
    </row>
    <row r="166" spans="13:21" x14ac:dyDescent="0.3">
      <c r="M166" s="3"/>
      <c r="N166" s="3"/>
      <c r="O166" s="3"/>
      <c r="P166" s="3"/>
      <c r="Q166" s="3"/>
      <c r="R166" s="3"/>
      <c r="S166" s="3"/>
      <c r="T166" s="3"/>
      <c r="U166" s="3"/>
    </row>
    <row r="167" spans="13:21" x14ac:dyDescent="0.3">
      <c r="M167" s="3"/>
      <c r="N167" s="3"/>
      <c r="O167" s="3"/>
      <c r="P167" s="3"/>
      <c r="Q167" s="3"/>
      <c r="R167" s="3"/>
      <c r="S167" s="3"/>
      <c r="T167" s="3"/>
      <c r="U167" s="3"/>
    </row>
    <row r="168" spans="13:21" x14ac:dyDescent="0.3">
      <c r="M168" s="3"/>
      <c r="N168" s="3"/>
      <c r="O168" s="3"/>
      <c r="P168" s="3"/>
      <c r="Q168" s="3"/>
      <c r="R168" s="3"/>
      <c r="S168" s="3"/>
      <c r="T168" s="3"/>
      <c r="U168" s="3"/>
    </row>
    <row r="169" spans="13:21" x14ac:dyDescent="0.3">
      <c r="M169" s="3"/>
      <c r="N169" s="3"/>
      <c r="O169" s="3"/>
      <c r="P169" s="3"/>
      <c r="Q169" s="3"/>
      <c r="R169" s="3"/>
      <c r="S169" s="3"/>
      <c r="T169" s="3"/>
      <c r="U169" s="3"/>
    </row>
    <row r="170" spans="13:21" x14ac:dyDescent="0.3">
      <c r="M170" s="3"/>
      <c r="N170" s="3"/>
      <c r="O170" s="3"/>
      <c r="P170" s="3"/>
      <c r="Q170" s="3"/>
      <c r="R170" s="3"/>
      <c r="S170" s="3"/>
      <c r="T170" s="3"/>
      <c r="U170" s="3"/>
    </row>
    <row r="171" spans="13:21" x14ac:dyDescent="0.3">
      <c r="M171" s="3"/>
      <c r="N171" s="3"/>
      <c r="O171" s="3"/>
      <c r="P171" s="3"/>
      <c r="Q171" s="3"/>
      <c r="R171" s="3"/>
      <c r="S171" s="3"/>
      <c r="T171" s="3"/>
      <c r="U171" s="3"/>
    </row>
    <row r="172" spans="13:21" x14ac:dyDescent="0.3">
      <c r="M172" s="3"/>
      <c r="N172" s="3"/>
      <c r="O172" s="3"/>
      <c r="P172" s="3"/>
      <c r="Q172" s="3"/>
      <c r="R172" s="3"/>
      <c r="S172" s="3"/>
      <c r="T172" s="3"/>
      <c r="U172" s="3"/>
    </row>
    <row r="173" spans="13:21" x14ac:dyDescent="0.3">
      <c r="M173" s="3"/>
      <c r="N173" s="3"/>
      <c r="O173" s="3"/>
      <c r="P173" s="3"/>
      <c r="Q173" s="3"/>
      <c r="R173" s="3"/>
      <c r="S173" s="3"/>
      <c r="T173" s="3"/>
      <c r="U173" s="3"/>
    </row>
    <row r="174" spans="13:21" x14ac:dyDescent="0.3">
      <c r="M174" s="3"/>
      <c r="N174" s="3"/>
      <c r="O174" s="3"/>
      <c r="P174" s="3"/>
      <c r="Q174" s="3"/>
      <c r="R174" s="3"/>
      <c r="S174" s="3"/>
      <c r="T174" s="3"/>
      <c r="U174" s="3"/>
    </row>
    <row r="175" spans="13:21" x14ac:dyDescent="0.3">
      <c r="M175" s="3"/>
      <c r="N175" s="3"/>
      <c r="O175" s="3"/>
      <c r="P175" s="3"/>
      <c r="Q175" s="3"/>
      <c r="R175" s="3"/>
      <c r="S175" s="3"/>
      <c r="T175" s="3"/>
      <c r="U175" s="3"/>
    </row>
    <row r="176" spans="13:21" x14ac:dyDescent="0.3">
      <c r="M176" s="3"/>
      <c r="N176" s="3"/>
      <c r="O176" s="3"/>
      <c r="P176" s="3"/>
      <c r="Q176" s="3"/>
      <c r="R176" s="3"/>
      <c r="S176" s="3"/>
      <c r="T176" s="3"/>
      <c r="U176" s="3"/>
    </row>
    <row r="177" spans="13:21" x14ac:dyDescent="0.3">
      <c r="M177" s="3"/>
      <c r="N177" s="3"/>
      <c r="O177" s="3"/>
      <c r="P177" s="3"/>
      <c r="Q177" s="3"/>
      <c r="R177" s="3"/>
      <c r="S177" s="3"/>
      <c r="T177" s="3"/>
      <c r="U177" s="3"/>
    </row>
    <row r="178" spans="13:21" x14ac:dyDescent="0.3">
      <c r="M178" s="3"/>
      <c r="N178" s="3"/>
      <c r="O178" s="3"/>
      <c r="P178" s="3"/>
      <c r="Q178" s="3"/>
      <c r="R178" s="3"/>
      <c r="S178" s="3"/>
      <c r="T178" s="3"/>
      <c r="U178" s="3"/>
    </row>
    <row r="179" spans="13:21" x14ac:dyDescent="0.3">
      <c r="M179" s="3"/>
      <c r="N179" s="3"/>
      <c r="O179" s="3"/>
      <c r="P179" s="3"/>
      <c r="Q179" s="3"/>
      <c r="R179" s="3"/>
      <c r="S179" s="3"/>
      <c r="T179" s="3"/>
      <c r="U179" s="3"/>
    </row>
    <row r="180" spans="13:21" x14ac:dyDescent="0.3">
      <c r="M180" s="3"/>
      <c r="N180" s="3"/>
      <c r="O180" s="3"/>
      <c r="P180" s="3"/>
      <c r="Q180" s="3"/>
      <c r="R180" s="3"/>
      <c r="S180" s="3"/>
      <c r="T180" s="3"/>
      <c r="U180" s="3"/>
    </row>
    <row r="181" spans="13:21" x14ac:dyDescent="0.3">
      <c r="M181" s="3"/>
      <c r="N181" s="3"/>
      <c r="O181" s="3"/>
      <c r="P181" s="3"/>
      <c r="Q181" s="3"/>
      <c r="R181" s="3"/>
      <c r="S181" s="3"/>
      <c r="T181" s="3"/>
      <c r="U181" s="3"/>
    </row>
  </sheetData>
  <phoneticPr fontId="2" type="noConversion"/>
  <conditionalFormatting sqref="H2:H181">
    <cfRule type="expression" dxfId="59" priority="9">
      <formula>H2=200000000000000000000</formula>
    </cfRule>
  </conditionalFormatting>
  <conditionalFormatting sqref="H2:H181">
    <cfRule type="expression" dxfId="58" priority="7">
      <formula>H2=300000000000000000000</formula>
    </cfRule>
  </conditionalFormatting>
  <conditionalFormatting sqref="M2:U181">
    <cfRule type="expression" dxfId="57" priority="5">
      <formula>MOD(ROW(),2)=0</formula>
    </cfRule>
  </conditionalFormatting>
  <conditionalFormatting sqref="U2:U181">
    <cfRule type="expression" dxfId="56" priority="4">
      <formula>U2=300000000000000000000</formula>
    </cfRule>
    <cfRule type="expression" dxfId="55" priority="3">
      <formula>U2=200000000000000000000</formula>
    </cfRule>
  </conditionalFormatting>
  <conditionalFormatting sqref="R2:R181">
    <cfRule type="expression" dxfId="54" priority="2">
      <formula>R2=400000000000000000000</formula>
    </cfRule>
  </conditionalFormatting>
  <conditionalFormatting sqref="U2:U181">
    <cfRule type="expression" dxfId="53" priority="1">
      <formula>U2=400000000000000000000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13.5546875" bestFit="1" customWidth="1"/>
    <col min="5" max="5" width="7.33203125" bestFit="1" customWidth="1"/>
    <col min="6" max="6" width="12.5546875" bestFit="1" customWidth="1"/>
    <col min="7" max="7" width="16.109375" bestFit="1" customWidth="1"/>
    <col min="8" max="8" width="42.10937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2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H2" t="str">
        <f>CountersTable[[#This Row],[ProjectName]]&amp;CountersTable[[#This Row],[Name]]&amp;CountersTable[[#This Row],[Type]]&amp;CountersTable[[#This Row],[Source]]</f>
        <v/>
      </c>
      <c r="I2" cm="1">
        <f t="array" ref="I2">MAX(IF((ProjectInfoTable[ProjectName]=CountersTable[[#This Row],[ProjectName]]),(ProjectInfoTable[ProjectName]=CountersTable[[#This Row],[ProjectName]])*ProjectInfoTable[NumberOfReplications]))</f>
        <v>0</v>
      </c>
      <c r="J2" cm="1">
        <f t="array" ref="J2">IFERROR(AVERAGE(IF((CountersTable[GroupByKey]=CountersTable[[#This Row],[GroupByKey]]),(CountersTable[GroupByKey]=CountersTable[[#This Row],[GroupByKey]])*CountersTable[RecordedValue])),0)</f>
        <v>0</v>
      </c>
      <c r="K2" s="3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s="3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 s="3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s="3" cm="1">
        <f t="array" ref="N2">MIN(IF((CountersTable[GroupByKey]=CountersTable[[#This Row],[GroupByKey]]),(CountersTable[GroupByKey]=CountersTable[[#This Row],[GroupByKey]])*CountersTable[RecordedValue]))</f>
        <v>0</v>
      </c>
      <c r="O2" s="3" cm="1">
        <f t="array" ref="O2">MAX(IF((CountersTable[GroupByKey]=CountersTable[[#This Row],[GroupByKey]]),(CountersTable[GroupByKey]=CountersTable[[#This Row],[GroupByKey]])*CountersTable[RecordedValue]))</f>
        <v>0</v>
      </c>
    </row>
    <row r="3" spans="1:15" x14ac:dyDescent="0.3">
      <c r="K3" s="3"/>
      <c r="L3" s="3"/>
      <c r="M3" s="3"/>
      <c r="N3" s="3"/>
      <c r="O3" s="3"/>
    </row>
    <row r="4" spans="1:15" x14ac:dyDescent="0.3">
      <c r="I4" s="3"/>
      <c r="K4" s="3"/>
      <c r="L4" s="3"/>
      <c r="M4" s="3"/>
      <c r="N4" s="3"/>
      <c r="O4" s="3"/>
    </row>
    <row r="5" spans="1:15" x14ac:dyDescent="0.3">
      <c r="I5" s="3"/>
      <c r="K5" s="3"/>
      <c r="L5" s="3"/>
      <c r="M5" s="3"/>
      <c r="N5" s="3"/>
      <c r="O5" s="3"/>
    </row>
    <row r="6" spans="1:15" x14ac:dyDescent="0.3">
      <c r="I6" s="3"/>
      <c r="K6" s="3"/>
      <c r="L6" s="3"/>
      <c r="M6" s="3"/>
      <c r="N6" s="3"/>
      <c r="O6" s="3"/>
    </row>
    <row r="7" spans="1:15" x14ac:dyDescent="0.3">
      <c r="I7" s="3"/>
      <c r="K7" s="3"/>
      <c r="L7" s="3"/>
      <c r="M7" s="3"/>
      <c r="N7" s="3"/>
      <c r="O7" s="3"/>
    </row>
    <row r="8" spans="1:15" x14ac:dyDescent="0.3">
      <c r="I8" s="3"/>
      <c r="K8" s="3"/>
      <c r="L8" s="3"/>
      <c r="M8" s="3"/>
      <c r="N8" s="3"/>
      <c r="O8" s="3"/>
    </row>
    <row r="9" spans="1:15" x14ac:dyDescent="0.3">
      <c r="I9" s="3"/>
      <c r="K9" s="3"/>
      <c r="L9" s="3"/>
      <c r="M9" s="3"/>
      <c r="N9" s="3"/>
      <c r="O9" s="3"/>
    </row>
    <row r="10" spans="1:15" x14ac:dyDescent="0.3">
      <c r="I10" s="3"/>
      <c r="K10" s="3"/>
      <c r="L10" s="3"/>
      <c r="M10" s="3"/>
      <c r="N10" s="3"/>
      <c r="O10" s="3"/>
    </row>
    <row r="11" spans="1:15" x14ac:dyDescent="0.3">
      <c r="I11" s="3"/>
      <c r="K11" s="3"/>
      <c r="L11" s="3"/>
      <c r="M11" s="3"/>
      <c r="N11" s="3"/>
      <c r="O11" s="3"/>
    </row>
  </sheetData>
  <phoneticPr fontId="2" type="noConversion"/>
  <conditionalFormatting sqref="H2:O11">
    <cfRule type="expression" dxfId="52" priority="2">
      <formula>MOD(ROW(),2)=0</formula>
    </cfRule>
  </conditionalFormatting>
  <conditionalFormatting sqref="M2:M11">
    <cfRule type="expression" dxfId="5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11"/>
  <sheetViews>
    <sheetView workbookViewId="0">
      <selection activeCell="H2" sqref="H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27.4414062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64.33203125" bestFit="1" customWidth="1"/>
    <col min="10" max="10" width="16.21875" bestFit="1" customWidth="1"/>
    <col min="11" max="11" width="12" customWidth="1"/>
    <col min="12" max="12" width="19" bestFit="1" customWidth="1"/>
    <col min="13" max="13" width="19.44140625" bestFit="1" customWidth="1"/>
    <col min="14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I2" t="str">
        <f>OutputTable[[#This Row],[ProjectName]]&amp;OutputTable[[#This Row],[Name]]&amp;OutputTable[[#This Row],[Type]]&amp;OutputTable[[#This Row],[Source]]</f>
        <v/>
      </c>
      <c r="J2" cm="1">
        <f t="array" ref="J2">MAX(IF((ProjectInfoTable[ProjectName]=OutputTable[[#This Row],[ProjectName]]),(ProjectInfoTable[ProjectName]=OutputTable[[#This Row],[ProjectName]])*ProjectInfoTable[NumberOfReplications]))</f>
        <v>0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s="3" cm="1">
        <f t="array" ref="L2">IFERROR(_xlfn.STDEV.S(IF((OutputTable[GroupByKey]=OutputTable[[#This Row],[GroupByKey]]),(OutputTable[GroupByKey]=OutputTable[[#This Row],[GroupByKey]])*OutputTable[RecordedValue])),0)</f>
        <v>0</v>
      </c>
      <c r="M2" s="3" cm="1">
        <f t="array" ref="M2">MAX(IF((ProjectInfoTable[ProjectName]=OutputTable[[#This Row],[ProjectName]]),(ProjectInfoTable[ProjectName]=OutputTable[[#This Row],[ProjectName]])*ProjectInfoTable[ConfidenceInterval]))</f>
        <v>0.95</v>
      </c>
      <c r="N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s="3" cm="1">
        <f t="array" ref="O2">MIN(IF((OutputTable[GroupByKey]=OutputTable[[#This Row],[GroupByKey]]),(OutputTable[GroupByKey]=OutputTable[[#This Row],[GroupByKey]])*OutputTable[RecordedValue]))</f>
        <v>0</v>
      </c>
      <c r="P2" s="3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3">
      <c r="L3" s="3"/>
      <c r="M3" s="3"/>
      <c r="N3" s="3"/>
      <c r="O3" s="3"/>
      <c r="P3" s="3"/>
    </row>
    <row r="4" spans="1:16" x14ac:dyDescent="0.3">
      <c r="L4" s="3"/>
      <c r="M4" s="3"/>
      <c r="N4" s="3"/>
      <c r="O4" s="3"/>
      <c r="P4" s="3"/>
    </row>
    <row r="5" spans="1:16" x14ac:dyDescent="0.3">
      <c r="L5" s="3"/>
      <c r="M5" s="3"/>
      <c r="N5" s="3"/>
      <c r="O5" s="3"/>
      <c r="P5" s="3"/>
    </row>
    <row r="6" spans="1:16" x14ac:dyDescent="0.3">
      <c r="L6" s="3"/>
      <c r="M6" s="3"/>
      <c r="N6" s="3"/>
      <c r="O6" s="3"/>
      <c r="P6" s="3"/>
    </row>
    <row r="7" spans="1:16" x14ac:dyDescent="0.3">
      <c r="L7" s="3"/>
      <c r="M7" s="3"/>
      <c r="N7" s="3"/>
      <c r="O7" s="3"/>
      <c r="P7" s="3"/>
    </row>
    <row r="8" spans="1:16" x14ac:dyDescent="0.3">
      <c r="L8" s="3"/>
      <c r="M8" s="3"/>
      <c r="N8" s="3"/>
      <c r="O8" s="3"/>
      <c r="P8" s="3"/>
    </row>
    <row r="9" spans="1:16" x14ac:dyDescent="0.3">
      <c r="L9" s="3"/>
      <c r="M9" s="3"/>
      <c r="N9" s="3"/>
      <c r="O9" s="3"/>
      <c r="P9" s="3"/>
    </row>
    <row r="10" spans="1:16" x14ac:dyDescent="0.3">
      <c r="L10" s="3"/>
      <c r="M10" s="3"/>
      <c r="N10" s="3"/>
      <c r="O10" s="3"/>
      <c r="P10" s="3"/>
    </row>
    <row r="11" spans="1:16" x14ac:dyDescent="0.3">
      <c r="L11" s="3"/>
      <c r="M11" s="3"/>
      <c r="N11" s="3"/>
      <c r="O11" s="3"/>
      <c r="P11" s="3"/>
    </row>
    <row r="12" spans="1:16" x14ac:dyDescent="0.3">
      <c r="L12" s="3"/>
      <c r="M12" s="3"/>
      <c r="N12" s="3"/>
      <c r="O12" s="3"/>
      <c r="P12" s="3"/>
    </row>
    <row r="13" spans="1:16" x14ac:dyDescent="0.3">
      <c r="L13" s="3"/>
      <c r="M13" s="3"/>
      <c r="N13" s="3"/>
      <c r="O13" s="3"/>
      <c r="P13" s="3"/>
    </row>
    <row r="14" spans="1:16" x14ac:dyDescent="0.3">
      <c r="L14" s="3"/>
      <c r="M14" s="3"/>
      <c r="N14" s="3"/>
      <c r="O14" s="3"/>
      <c r="P14" s="3"/>
    </row>
    <row r="15" spans="1:16" x14ac:dyDescent="0.3">
      <c r="L15" s="3"/>
      <c r="M15" s="3"/>
      <c r="N15" s="3"/>
      <c r="O15" s="3"/>
      <c r="P15" s="3"/>
    </row>
    <row r="16" spans="1:16" x14ac:dyDescent="0.3">
      <c r="L16" s="3"/>
      <c r="M16" s="3"/>
      <c r="N16" s="3"/>
      <c r="O16" s="3"/>
      <c r="P16" s="3"/>
    </row>
    <row r="17" spans="9:16" x14ac:dyDescent="0.3">
      <c r="L17" s="3"/>
      <c r="M17" s="3"/>
      <c r="N17" s="3"/>
      <c r="O17" s="3"/>
      <c r="P17" s="3"/>
    </row>
    <row r="18" spans="9:16" x14ac:dyDescent="0.3">
      <c r="L18" s="3"/>
      <c r="M18" s="3"/>
      <c r="N18" s="3"/>
      <c r="O18" s="3"/>
      <c r="P18" s="3"/>
    </row>
    <row r="19" spans="9:16" x14ac:dyDescent="0.3">
      <c r="L19" s="3"/>
      <c r="M19" s="3"/>
      <c r="N19" s="3"/>
      <c r="O19" s="3"/>
      <c r="P19" s="3"/>
    </row>
    <row r="20" spans="9:16" x14ac:dyDescent="0.3">
      <c r="L20" s="3"/>
      <c r="M20" s="3"/>
      <c r="N20" s="3"/>
      <c r="O20" s="3"/>
      <c r="P20" s="3"/>
    </row>
    <row r="21" spans="9:16" x14ac:dyDescent="0.3">
      <c r="L21" s="3"/>
      <c r="M21" s="3"/>
      <c r="N21" s="3"/>
      <c r="O21" s="3"/>
      <c r="P21" s="3"/>
    </row>
    <row r="22" spans="9:16" x14ac:dyDescent="0.3">
      <c r="L22" s="3"/>
      <c r="M22" s="3"/>
      <c r="N22" s="3"/>
      <c r="O22" s="3"/>
      <c r="P22" s="3"/>
    </row>
    <row r="23" spans="9:16" x14ac:dyDescent="0.3">
      <c r="L23" s="3"/>
      <c r="M23" s="3"/>
      <c r="N23" s="3"/>
      <c r="O23" s="3"/>
      <c r="P23" s="3"/>
    </row>
    <row r="24" spans="9:16" x14ac:dyDescent="0.3">
      <c r="L24" s="3"/>
      <c r="M24" s="3"/>
      <c r="N24" s="3"/>
      <c r="O24" s="3"/>
      <c r="P24" s="3"/>
    </row>
    <row r="25" spans="9:16" x14ac:dyDescent="0.3">
      <c r="L25" s="3"/>
      <c r="M25" s="3"/>
      <c r="N25" s="3"/>
      <c r="O25" s="3"/>
      <c r="P25" s="3"/>
    </row>
    <row r="26" spans="9:16" x14ac:dyDescent="0.3">
      <c r="L26" s="3"/>
      <c r="M26" s="3"/>
      <c r="N26" s="3"/>
      <c r="O26" s="3"/>
      <c r="P26" s="3"/>
    </row>
    <row r="27" spans="9:16" x14ac:dyDescent="0.3">
      <c r="L27" s="3"/>
      <c r="M27" s="3"/>
      <c r="N27" s="3"/>
      <c r="O27" s="3"/>
      <c r="P27" s="3"/>
    </row>
    <row r="28" spans="9:16" x14ac:dyDescent="0.3">
      <c r="L28" s="3"/>
      <c r="M28" s="3"/>
      <c r="N28" s="3"/>
      <c r="O28" s="3"/>
      <c r="P28" s="3"/>
    </row>
    <row r="29" spans="9:16" x14ac:dyDescent="0.3">
      <c r="L29" s="3"/>
      <c r="M29" s="3"/>
      <c r="N29" s="3"/>
      <c r="O29" s="3"/>
      <c r="P29" s="3"/>
    </row>
    <row r="30" spans="9:16" x14ac:dyDescent="0.3">
      <c r="L30" s="3"/>
      <c r="M30" s="3"/>
      <c r="N30" s="3"/>
      <c r="O30" s="3"/>
      <c r="P30" s="3"/>
    </row>
    <row r="31" spans="9:16" x14ac:dyDescent="0.3">
      <c r="L31" s="3"/>
      <c r="M31" s="3"/>
      <c r="N31" s="3"/>
      <c r="O31" s="3"/>
      <c r="P31" s="3"/>
    </row>
    <row r="32" spans="9:16" x14ac:dyDescent="0.3">
      <c r="I32" s="3"/>
      <c r="J32" s="3"/>
      <c r="K32" s="3"/>
      <c r="L32" s="3"/>
      <c r="M32" s="3"/>
      <c r="N32" s="3"/>
      <c r="O32" s="3"/>
      <c r="P32" s="3"/>
    </row>
    <row r="33" spans="9:16" x14ac:dyDescent="0.3">
      <c r="I33" s="3"/>
      <c r="J33" s="3"/>
      <c r="K33" s="3"/>
      <c r="L33" s="3"/>
      <c r="M33" s="3"/>
      <c r="N33" s="3"/>
      <c r="O33" s="3"/>
      <c r="P33" s="3"/>
    </row>
    <row r="34" spans="9:16" x14ac:dyDescent="0.3">
      <c r="I34" s="3"/>
      <c r="J34" s="3"/>
      <c r="K34" s="3"/>
      <c r="L34" s="3"/>
      <c r="M34" s="3"/>
      <c r="N34" s="3"/>
      <c r="O34" s="3"/>
      <c r="P34" s="3"/>
    </row>
    <row r="35" spans="9:16" x14ac:dyDescent="0.3">
      <c r="I35" s="3"/>
      <c r="J35" s="3"/>
      <c r="K35" s="3"/>
      <c r="L35" s="3"/>
      <c r="M35" s="3"/>
      <c r="N35" s="3"/>
      <c r="O35" s="3"/>
      <c r="P35" s="3"/>
    </row>
    <row r="36" spans="9:16" x14ac:dyDescent="0.3">
      <c r="I36" s="3"/>
      <c r="J36" s="3"/>
      <c r="K36" s="3"/>
      <c r="L36" s="3"/>
      <c r="M36" s="3"/>
      <c r="N36" s="3"/>
      <c r="O36" s="3"/>
      <c r="P36" s="3"/>
    </row>
    <row r="37" spans="9:16" x14ac:dyDescent="0.3">
      <c r="I37" s="3"/>
      <c r="J37" s="3"/>
      <c r="K37" s="3"/>
      <c r="L37" s="3"/>
      <c r="M37" s="3"/>
      <c r="N37" s="3"/>
      <c r="O37" s="3"/>
      <c r="P37" s="3"/>
    </row>
    <row r="38" spans="9:16" x14ac:dyDescent="0.3">
      <c r="I38" s="3"/>
      <c r="J38" s="3"/>
      <c r="K38" s="3"/>
      <c r="L38" s="3"/>
      <c r="M38" s="3"/>
      <c r="N38" s="3"/>
      <c r="O38" s="3"/>
      <c r="P38" s="3"/>
    </row>
    <row r="39" spans="9:16" x14ac:dyDescent="0.3">
      <c r="I39" s="3"/>
      <c r="J39" s="3"/>
      <c r="K39" s="3"/>
      <c r="L39" s="3"/>
      <c r="M39" s="3"/>
      <c r="N39" s="3"/>
      <c r="O39" s="3"/>
      <c r="P39" s="3"/>
    </row>
    <row r="40" spans="9:16" x14ac:dyDescent="0.3">
      <c r="I40" s="3"/>
      <c r="J40" s="3"/>
      <c r="K40" s="3"/>
      <c r="L40" s="3"/>
      <c r="M40" s="3"/>
      <c r="N40" s="3"/>
      <c r="O40" s="3"/>
      <c r="P40" s="3"/>
    </row>
    <row r="41" spans="9:16" x14ac:dyDescent="0.3">
      <c r="I41" s="3"/>
      <c r="J41" s="3"/>
      <c r="K41" s="3"/>
      <c r="L41" s="3"/>
      <c r="M41" s="3"/>
      <c r="N41" s="3"/>
      <c r="O41" s="3"/>
      <c r="P41" s="3"/>
    </row>
    <row r="42" spans="9:16" x14ac:dyDescent="0.3">
      <c r="I42" s="3"/>
      <c r="J42" s="3"/>
      <c r="K42" s="3"/>
      <c r="L42" s="3"/>
      <c r="M42" s="3"/>
      <c r="N42" s="3"/>
      <c r="O42" s="3"/>
      <c r="P42" s="3"/>
    </row>
    <row r="43" spans="9:16" x14ac:dyDescent="0.3">
      <c r="I43" s="3"/>
      <c r="J43" s="3"/>
      <c r="K43" s="3"/>
      <c r="L43" s="3"/>
      <c r="M43" s="3"/>
      <c r="N43" s="3"/>
      <c r="O43" s="3"/>
      <c r="P43" s="3"/>
    </row>
    <row r="44" spans="9:16" x14ac:dyDescent="0.3">
      <c r="I44" s="3"/>
      <c r="J44" s="3"/>
      <c r="K44" s="3"/>
      <c r="L44" s="3"/>
      <c r="M44" s="3"/>
      <c r="N44" s="3"/>
      <c r="O44" s="3"/>
      <c r="P44" s="3"/>
    </row>
    <row r="45" spans="9:16" x14ac:dyDescent="0.3">
      <c r="I45" s="3"/>
      <c r="J45" s="3"/>
      <c r="K45" s="3"/>
      <c r="L45" s="3"/>
      <c r="M45" s="3"/>
      <c r="N45" s="3"/>
      <c r="O45" s="3"/>
      <c r="P45" s="3"/>
    </row>
    <row r="46" spans="9:16" x14ac:dyDescent="0.3">
      <c r="I46" s="3"/>
      <c r="J46" s="3"/>
      <c r="K46" s="3"/>
      <c r="L46" s="3"/>
      <c r="M46" s="3"/>
      <c r="N46" s="3"/>
      <c r="O46" s="3"/>
      <c r="P46" s="3"/>
    </row>
    <row r="47" spans="9:16" x14ac:dyDescent="0.3">
      <c r="I47" s="3"/>
      <c r="J47" s="3"/>
      <c r="K47" s="3"/>
      <c r="L47" s="3"/>
      <c r="M47" s="3"/>
      <c r="N47" s="3"/>
      <c r="O47" s="3"/>
      <c r="P47" s="3"/>
    </row>
    <row r="48" spans="9:16" x14ac:dyDescent="0.3">
      <c r="I48" s="3"/>
      <c r="J48" s="3"/>
      <c r="K48" s="3"/>
      <c r="L48" s="3"/>
      <c r="M48" s="3"/>
      <c r="N48" s="3"/>
      <c r="O48" s="3"/>
      <c r="P48" s="3"/>
    </row>
    <row r="49" spans="9:16" x14ac:dyDescent="0.3">
      <c r="I49" s="3"/>
      <c r="J49" s="3"/>
      <c r="K49" s="3"/>
      <c r="L49" s="3"/>
      <c r="M49" s="3"/>
      <c r="N49" s="3"/>
      <c r="O49" s="3"/>
      <c r="P49" s="3"/>
    </row>
    <row r="50" spans="9:16" x14ac:dyDescent="0.3">
      <c r="I50" s="3"/>
      <c r="J50" s="3"/>
      <c r="K50" s="3"/>
      <c r="L50" s="3"/>
      <c r="M50" s="3"/>
      <c r="N50" s="3"/>
      <c r="O50" s="3"/>
      <c r="P50" s="3"/>
    </row>
    <row r="51" spans="9:16" x14ac:dyDescent="0.3">
      <c r="I51" s="3"/>
      <c r="J51" s="3"/>
      <c r="K51" s="3"/>
      <c r="L51" s="3"/>
      <c r="M51" s="3"/>
      <c r="N51" s="3"/>
      <c r="O51" s="3"/>
      <c r="P51" s="3"/>
    </row>
    <row r="52" spans="9:16" x14ac:dyDescent="0.3">
      <c r="I52" s="3"/>
      <c r="J52" s="3"/>
      <c r="K52" s="3"/>
      <c r="L52" s="3"/>
      <c r="M52" s="3"/>
      <c r="N52" s="3"/>
      <c r="O52" s="3"/>
      <c r="P52" s="3"/>
    </row>
    <row r="53" spans="9:16" x14ac:dyDescent="0.3">
      <c r="I53" s="3"/>
      <c r="J53" s="3"/>
      <c r="K53" s="3"/>
      <c r="L53" s="3"/>
      <c r="M53" s="3"/>
      <c r="N53" s="3"/>
      <c r="O53" s="3"/>
      <c r="P53" s="3"/>
    </row>
    <row r="54" spans="9:16" x14ac:dyDescent="0.3">
      <c r="I54" s="3"/>
      <c r="J54" s="3"/>
      <c r="K54" s="3"/>
      <c r="L54" s="3"/>
      <c r="M54" s="3"/>
      <c r="N54" s="3"/>
      <c r="O54" s="3"/>
      <c r="P54" s="3"/>
    </row>
    <row r="55" spans="9:16" x14ac:dyDescent="0.3">
      <c r="I55" s="3"/>
      <c r="J55" s="3"/>
      <c r="K55" s="3"/>
      <c r="L55" s="3"/>
      <c r="M55" s="3"/>
      <c r="N55" s="3"/>
      <c r="O55" s="3"/>
      <c r="P55" s="3"/>
    </row>
    <row r="56" spans="9:16" x14ac:dyDescent="0.3">
      <c r="I56" s="3"/>
      <c r="J56" s="3"/>
      <c r="K56" s="3"/>
      <c r="L56" s="3"/>
      <c r="M56" s="3"/>
      <c r="N56" s="3"/>
      <c r="O56" s="3"/>
      <c r="P56" s="3"/>
    </row>
    <row r="57" spans="9:16" x14ac:dyDescent="0.3">
      <c r="I57" s="3"/>
      <c r="J57" s="3"/>
      <c r="K57" s="3"/>
      <c r="L57" s="3"/>
      <c r="M57" s="3"/>
      <c r="N57" s="3"/>
      <c r="O57" s="3"/>
      <c r="P57" s="3"/>
    </row>
    <row r="58" spans="9:16" x14ac:dyDescent="0.3">
      <c r="I58" s="3"/>
      <c r="J58" s="3"/>
      <c r="K58" s="3"/>
      <c r="L58" s="3"/>
      <c r="M58" s="3"/>
      <c r="N58" s="3"/>
      <c r="O58" s="3"/>
      <c r="P58" s="3"/>
    </row>
    <row r="59" spans="9:16" x14ac:dyDescent="0.3">
      <c r="I59" s="3"/>
      <c r="J59" s="3"/>
      <c r="K59" s="3"/>
      <c r="L59" s="3"/>
      <c r="M59" s="3"/>
      <c r="N59" s="3"/>
      <c r="O59" s="3"/>
      <c r="P59" s="3"/>
    </row>
    <row r="60" spans="9:16" x14ac:dyDescent="0.3">
      <c r="I60" s="3"/>
      <c r="J60" s="3"/>
      <c r="K60" s="3"/>
      <c r="L60" s="3"/>
      <c r="M60" s="3"/>
      <c r="N60" s="3"/>
      <c r="O60" s="3"/>
      <c r="P60" s="3"/>
    </row>
    <row r="61" spans="9:16" x14ac:dyDescent="0.3">
      <c r="I61" s="3"/>
      <c r="J61" s="3"/>
      <c r="K61" s="3"/>
      <c r="L61" s="3"/>
      <c r="M61" s="3"/>
      <c r="N61" s="3"/>
      <c r="O61" s="3"/>
      <c r="P61" s="3"/>
    </row>
    <row r="62" spans="9:16" x14ac:dyDescent="0.3">
      <c r="I62" s="3"/>
      <c r="J62" s="3"/>
      <c r="K62" s="3"/>
      <c r="L62" s="3"/>
      <c r="M62" s="3"/>
      <c r="N62" s="3"/>
      <c r="O62" s="3"/>
      <c r="P62" s="3"/>
    </row>
    <row r="63" spans="9:16" x14ac:dyDescent="0.3">
      <c r="I63" s="3"/>
      <c r="J63" s="3"/>
      <c r="K63" s="3"/>
      <c r="L63" s="3"/>
      <c r="M63" s="3"/>
      <c r="N63" s="3"/>
      <c r="O63" s="3"/>
      <c r="P63" s="3"/>
    </row>
    <row r="64" spans="9:16" x14ac:dyDescent="0.3">
      <c r="I64" s="3"/>
      <c r="J64" s="3"/>
      <c r="K64" s="3"/>
      <c r="L64" s="3"/>
      <c r="M64" s="3"/>
      <c r="N64" s="3"/>
      <c r="O64" s="3"/>
      <c r="P64" s="3"/>
    </row>
    <row r="65" spans="9:16" x14ac:dyDescent="0.3">
      <c r="I65" s="3"/>
      <c r="J65" s="3"/>
      <c r="K65" s="3"/>
      <c r="L65" s="3"/>
      <c r="M65" s="3"/>
      <c r="N65" s="3"/>
      <c r="O65" s="3"/>
      <c r="P65" s="3"/>
    </row>
    <row r="66" spans="9:16" x14ac:dyDescent="0.3">
      <c r="I66" s="3"/>
      <c r="J66" s="3"/>
      <c r="K66" s="3"/>
      <c r="L66" s="3"/>
      <c r="M66" s="3"/>
      <c r="N66" s="3"/>
      <c r="O66" s="3"/>
      <c r="P66" s="3"/>
    </row>
    <row r="67" spans="9:16" x14ac:dyDescent="0.3">
      <c r="I67" s="3"/>
      <c r="J67" s="3"/>
      <c r="K67" s="3"/>
      <c r="L67" s="3"/>
      <c r="M67" s="3"/>
      <c r="N67" s="3"/>
      <c r="O67" s="3"/>
      <c r="P67" s="3"/>
    </row>
    <row r="68" spans="9:16" x14ac:dyDescent="0.3">
      <c r="I68" s="3"/>
      <c r="J68" s="3"/>
      <c r="K68" s="3"/>
      <c r="L68" s="3"/>
      <c r="M68" s="3"/>
      <c r="N68" s="3"/>
      <c r="O68" s="3"/>
      <c r="P68" s="3"/>
    </row>
    <row r="69" spans="9:16" x14ac:dyDescent="0.3">
      <c r="I69" s="3"/>
      <c r="J69" s="3"/>
      <c r="K69" s="3"/>
      <c r="L69" s="3"/>
      <c r="M69" s="3"/>
      <c r="N69" s="3"/>
      <c r="O69" s="3"/>
      <c r="P69" s="3"/>
    </row>
    <row r="70" spans="9:16" x14ac:dyDescent="0.3">
      <c r="I70" s="3"/>
      <c r="J70" s="3"/>
      <c r="K70" s="3"/>
      <c r="L70" s="3"/>
      <c r="M70" s="3"/>
      <c r="N70" s="3"/>
      <c r="O70" s="3"/>
      <c r="P70" s="3"/>
    </row>
    <row r="71" spans="9:16" x14ac:dyDescent="0.3">
      <c r="I71" s="3"/>
      <c r="J71" s="3"/>
      <c r="K71" s="3"/>
      <c r="L71" s="3"/>
      <c r="M71" s="3"/>
      <c r="N71" s="3"/>
      <c r="O71" s="3"/>
      <c r="P71" s="3"/>
    </row>
    <row r="72" spans="9:16" x14ac:dyDescent="0.3">
      <c r="I72" s="3"/>
      <c r="J72" s="3"/>
      <c r="K72" s="3"/>
      <c r="L72" s="3"/>
      <c r="M72" s="3"/>
      <c r="N72" s="3"/>
      <c r="O72" s="3"/>
      <c r="P72" s="3"/>
    </row>
    <row r="73" spans="9:16" x14ac:dyDescent="0.3">
      <c r="I73" s="3"/>
      <c r="J73" s="3"/>
      <c r="K73" s="3"/>
      <c r="L73" s="3"/>
      <c r="M73" s="3"/>
      <c r="N73" s="3"/>
      <c r="O73" s="3"/>
      <c r="P73" s="3"/>
    </row>
    <row r="74" spans="9:16" x14ac:dyDescent="0.3">
      <c r="I74" s="3"/>
      <c r="J74" s="3"/>
      <c r="K74" s="3"/>
      <c r="L74" s="3"/>
      <c r="M74" s="3"/>
      <c r="N74" s="3"/>
      <c r="O74" s="3"/>
      <c r="P74" s="3"/>
    </row>
    <row r="75" spans="9:16" x14ac:dyDescent="0.3">
      <c r="I75" s="3"/>
      <c r="J75" s="3"/>
      <c r="K75" s="3"/>
      <c r="L75" s="3"/>
      <c r="M75" s="3"/>
      <c r="N75" s="3"/>
      <c r="O75" s="3"/>
      <c r="P75" s="3"/>
    </row>
    <row r="76" spans="9:16" x14ac:dyDescent="0.3">
      <c r="I76" s="3"/>
      <c r="J76" s="3"/>
      <c r="K76" s="3"/>
      <c r="L76" s="3"/>
      <c r="M76" s="3"/>
      <c r="N76" s="3"/>
      <c r="O76" s="3"/>
      <c r="P76" s="3"/>
    </row>
    <row r="77" spans="9:16" x14ac:dyDescent="0.3">
      <c r="I77" s="3"/>
      <c r="J77" s="3"/>
      <c r="K77" s="3"/>
      <c r="L77" s="3"/>
      <c r="M77" s="3"/>
      <c r="N77" s="3"/>
      <c r="O77" s="3"/>
      <c r="P77" s="3"/>
    </row>
    <row r="78" spans="9:16" x14ac:dyDescent="0.3">
      <c r="I78" s="3"/>
      <c r="J78" s="3"/>
      <c r="K78" s="3"/>
      <c r="L78" s="3"/>
      <c r="M78" s="3"/>
      <c r="N78" s="3"/>
      <c r="O78" s="3"/>
      <c r="P78" s="3"/>
    </row>
    <row r="79" spans="9:16" x14ac:dyDescent="0.3">
      <c r="I79" s="3"/>
      <c r="J79" s="3"/>
      <c r="K79" s="3"/>
      <c r="L79" s="3"/>
      <c r="M79" s="3"/>
      <c r="N79" s="3"/>
      <c r="O79" s="3"/>
      <c r="P79" s="3"/>
    </row>
    <row r="80" spans="9:16" x14ac:dyDescent="0.3">
      <c r="I80" s="3"/>
      <c r="J80" s="3"/>
      <c r="K80" s="3"/>
      <c r="L80" s="3"/>
      <c r="M80" s="3"/>
      <c r="N80" s="3"/>
      <c r="O80" s="3"/>
      <c r="P80" s="3"/>
    </row>
    <row r="81" spans="9:16" x14ac:dyDescent="0.3">
      <c r="I81" s="3"/>
      <c r="J81" s="3"/>
      <c r="K81" s="3"/>
      <c r="L81" s="3"/>
      <c r="M81" s="3"/>
      <c r="N81" s="3"/>
      <c r="O81" s="3"/>
      <c r="P81" s="3"/>
    </row>
    <row r="82" spans="9:16" x14ac:dyDescent="0.3">
      <c r="I82" s="3"/>
      <c r="J82" s="3"/>
      <c r="K82" s="3"/>
      <c r="L82" s="3"/>
      <c r="M82" s="3"/>
      <c r="N82" s="3"/>
      <c r="O82" s="3"/>
      <c r="P82" s="3"/>
    </row>
    <row r="83" spans="9:16" x14ac:dyDescent="0.3">
      <c r="I83" s="3"/>
      <c r="J83" s="3"/>
      <c r="K83" s="3"/>
      <c r="L83" s="3"/>
      <c r="M83" s="3"/>
      <c r="N83" s="3"/>
      <c r="O83" s="3"/>
      <c r="P83" s="3"/>
    </row>
    <row r="84" spans="9:16" x14ac:dyDescent="0.3">
      <c r="I84" s="3"/>
      <c r="J84" s="3"/>
      <c r="K84" s="3"/>
      <c r="L84" s="3"/>
      <c r="M84" s="3"/>
      <c r="N84" s="3"/>
      <c r="O84" s="3"/>
      <c r="P84" s="3"/>
    </row>
    <row r="85" spans="9:16" x14ac:dyDescent="0.3">
      <c r="I85" s="3"/>
      <c r="J85" s="3"/>
      <c r="K85" s="3"/>
      <c r="L85" s="3"/>
      <c r="M85" s="3"/>
      <c r="N85" s="3"/>
      <c r="O85" s="3"/>
      <c r="P85" s="3"/>
    </row>
    <row r="86" spans="9:16" x14ac:dyDescent="0.3">
      <c r="I86" s="3"/>
      <c r="J86" s="3"/>
      <c r="K86" s="3"/>
      <c r="L86" s="3"/>
      <c r="M86" s="3"/>
      <c r="N86" s="3"/>
      <c r="O86" s="3"/>
      <c r="P86" s="3"/>
    </row>
    <row r="87" spans="9:16" x14ac:dyDescent="0.3">
      <c r="I87" s="3"/>
      <c r="J87" s="3"/>
      <c r="K87" s="3"/>
      <c r="L87" s="3"/>
      <c r="M87" s="3"/>
      <c r="N87" s="3"/>
      <c r="O87" s="3"/>
      <c r="P87" s="3"/>
    </row>
    <row r="88" spans="9:16" x14ac:dyDescent="0.3">
      <c r="I88" s="3"/>
      <c r="J88" s="3"/>
      <c r="K88" s="3"/>
      <c r="L88" s="3"/>
      <c r="M88" s="3"/>
      <c r="N88" s="3"/>
      <c r="O88" s="3"/>
      <c r="P88" s="3"/>
    </row>
    <row r="89" spans="9:16" x14ac:dyDescent="0.3">
      <c r="I89" s="3"/>
      <c r="J89" s="3"/>
      <c r="K89" s="3"/>
      <c r="L89" s="3"/>
      <c r="M89" s="3"/>
      <c r="N89" s="3"/>
      <c r="O89" s="3"/>
      <c r="P89" s="3"/>
    </row>
    <row r="90" spans="9:16" x14ac:dyDescent="0.3">
      <c r="I90" s="3"/>
      <c r="J90" s="3"/>
      <c r="K90" s="3"/>
      <c r="L90" s="3"/>
      <c r="M90" s="3"/>
      <c r="N90" s="3"/>
      <c r="O90" s="3"/>
      <c r="P90" s="3"/>
    </row>
    <row r="91" spans="9:16" x14ac:dyDescent="0.3">
      <c r="I91" s="3"/>
      <c r="J91" s="3"/>
      <c r="K91" s="3"/>
      <c r="L91" s="3"/>
      <c r="M91" s="3"/>
      <c r="N91" s="3"/>
      <c r="O91" s="3"/>
      <c r="P91" s="3"/>
    </row>
    <row r="92" spans="9:16" x14ac:dyDescent="0.3">
      <c r="I92" s="3"/>
      <c r="J92" s="3"/>
      <c r="K92" s="3"/>
      <c r="L92" s="3"/>
      <c r="M92" s="3"/>
      <c r="N92" s="3"/>
      <c r="O92" s="3"/>
      <c r="P92" s="3"/>
    </row>
    <row r="93" spans="9:16" x14ac:dyDescent="0.3">
      <c r="I93" s="3"/>
      <c r="J93" s="3"/>
      <c r="K93" s="3"/>
      <c r="L93" s="3"/>
      <c r="M93" s="3"/>
      <c r="N93" s="3"/>
      <c r="O93" s="3"/>
      <c r="P93" s="3"/>
    </row>
    <row r="94" spans="9:16" x14ac:dyDescent="0.3">
      <c r="I94" s="3"/>
      <c r="J94" s="3"/>
      <c r="K94" s="3"/>
      <c r="L94" s="3"/>
      <c r="M94" s="3"/>
      <c r="N94" s="3"/>
      <c r="O94" s="3"/>
      <c r="P94" s="3"/>
    </row>
    <row r="95" spans="9:16" x14ac:dyDescent="0.3">
      <c r="I95" s="3"/>
      <c r="J95" s="3"/>
      <c r="K95" s="3"/>
      <c r="L95" s="3"/>
      <c r="M95" s="3"/>
      <c r="N95" s="3"/>
      <c r="O95" s="3"/>
      <c r="P95" s="3"/>
    </row>
    <row r="96" spans="9:16" x14ac:dyDescent="0.3">
      <c r="I96" s="3"/>
      <c r="J96" s="3"/>
      <c r="K96" s="3"/>
      <c r="L96" s="3"/>
      <c r="M96" s="3"/>
      <c r="N96" s="3"/>
      <c r="O96" s="3"/>
      <c r="P96" s="3"/>
    </row>
    <row r="97" spans="9:16" x14ac:dyDescent="0.3">
      <c r="I97" s="3"/>
      <c r="J97" s="3"/>
      <c r="K97" s="3"/>
      <c r="L97" s="3"/>
      <c r="M97" s="3"/>
      <c r="N97" s="3"/>
      <c r="O97" s="3"/>
      <c r="P97" s="3"/>
    </row>
    <row r="98" spans="9:16" x14ac:dyDescent="0.3">
      <c r="I98" s="3"/>
      <c r="J98" s="3"/>
      <c r="K98" s="3"/>
      <c r="L98" s="3"/>
      <c r="M98" s="3"/>
      <c r="N98" s="3"/>
      <c r="O98" s="3"/>
      <c r="P98" s="3"/>
    </row>
    <row r="99" spans="9:16" x14ac:dyDescent="0.3">
      <c r="I99" s="3"/>
      <c r="J99" s="3"/>
      <c r="K99" s="3"/>
      <c r="L99" s="3"/>
      <c r="M99" s="3"/>
      <c r="N99" s="3"/>
      <c r="O99" s="3"/>
      <c r="P99" s="3"/>
    </row>
    <row r="100" spans="9:16" x14ac:dyDescent="0.3">
      <c r="I100" s="3"/>
      <c r="J100" s="3"/>
      <c r="K100" s="3"/>
      <c r="L100" s="3"/>
      <c r="M100" s="3"/>
      <c r="N100" s="3"/>
      <c r="O100" s="3"/>
      <c r="P100" s="3"/>
    </row>
    <row r="101" spans="9:16" x14ac:dyDescent="0.3">
      <c r="I101" s="3"/>
      <c r="J101" s="3"/>
      <c r="K101" s="3"/>
      <c r="L101" s="3"/>
      <c r="M101" s="3"/>
      <c r="N101" s="3"/>
      <c r="O101" s="3"/>
      <c r="P101" s="3"/>
    </row>
    <row r="102" spans="9:16" x14ac:dyDescent="0.3">
      <c r="I102" s="3"/>
      <c r="J102" s="3"/>
      <c r="K102" s="3"/>
      <c r="L102" s="3"/>
      <c r="M102" s="3"/>
      <c r="N102" s="3"/>
      <c r="O102" s="3"/>
      <c r="P102" s="3"/>
    </row>
    <row r="103" spans="9:16" x14ac:dyDescent="0.3">
      <c r="I103" s="3"/>
      <c r="J103" s="3"/>
      <c r="K103" s="3"/>
      <c r="L103" s="3"/>
      <c r="M103" s="3"/>
      <c r="N103" s="3"/>
      <c r="O103" s="3"/>
      <c r="P103" s="3"/>
    </row>
    <row r="104" spans="9:16" x14ac:dyDescent="0.3">
      <c r="I104" s="3"/>
      <c r="J104" s="3"/>
      <c r="K104" s="3"/>
      <c r="L104" s="3"/>
      <c r="M104" s="3"/>
      <c r="N104" s="3"/>
      <c r="O104" s="3"/>
      <c r="P104" s="3"/>
    </row>
    <row r="105" spans="9:16" x14ac:dyDescent="0.3">
      <c r="I105" s="3"/>
      <c r="J105" s="3"/>
      <c r="K105" s="3"/>
      <c r="L105" s="3"/>
      <c r="M105" s="3"/>
      <c r="N105" s="3"/>
      <c r="O105" s="3"/>
      <c r="P105" s="3"/>
    </row>
    <row r="106" spans="9:16" x14ac:dyDescent="0.3">
      <c r="I106" s="3"/>
      <c r="J106" s="3"/>
      <c r="K106" s="3"/>
      <c r="L106" s="3"/>
      <c r="M106" s="3"/>
      <c r="N106" s="3"/>
      <c r="O106" s="3"/>
      <c r="P106" s="3"/>
    </row>
    <row r="107" spans="9:16" x14ac:dyDescent="0.3">
      <c r="I107" s="3"/>
      <c r="J107" s="3"/>
      <c r="K107" s="3"/>
      <c r="L107" s="3"/>
      <c r="M107" s="3"/>
      <c r="N107" s="3"/>
      <c r="O107" s="3"/>
      <c r="P107" s="3"/>
    </row>
    <row r="108" spans="9:16" x14ac:dyDescent="0.3">
      <c r="I108" s="3"/>
      <c r="J108" s="3"/>
      <c r="K108" s="3"/>
      <c r="L108" s="3"/>
      <c r="M108" s="3"/>
      <c r="N108" s="3"/>
      <c r="O108" s="3"/>
      <c r="P108" s="3"/>
    </row>
    <row r="109" spans="9:16" x14ac:dyDescent="0.3">
      <c r="I109" s="3"/>
      <c r="J109" s="3"/>
      <c r="K109" s="3"/>
      <c r="L109" s="3"/>
      <c r="M109" s="3"/>
      <c r="N109" s="3"/>
      <c r="O109" s="3"/>
      <c r="P109" s="3"/>
    </row>
    <row r="110" spans="9:16" x14ac:dyDescent="0.3">
      <c r="I110" s="3"/>
      <c r="J110" s="3"/>
      <c r="K110" s="3"/>
      <c r="L110" s="3"/>
      <c r="M110" s="3"/>
      <c r="N110" s="3"/>
      <c r="O110" s="3"/>
      <c r="P110" s="3"/>
    </row>
    <row r="111" spans="9:16" x14ac:dyDescent="0.3">
      <c r="I111" s="3"/>
      <c r="J111" s="3"/>
      <c r="K111" s="3"/>
      <c r="L111" s="3"/>
      <c r="M111" s="3"/>
      <c r="N111" s="3"/>
      <c r="O111" s="3"/>
      <c r="P111" s="3"/>
    </row>
  </sheetData>
  <phoneticPr fontId="2" type="noConversion"/>
  <conditionalFormatting sqref="I2:P111">
    <cfRule type="expression" dxfId="50" priority="2">
      <formula>MOD(ROW(),2)=0</formula>
    </cfRule>
  </conditionalFormatting>
  <conditionalFormatting sqref="N2:N111">
    <cfRule type="expression" dxfId="4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V45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3.6640625" bestFit="1" customWidth="1"/>
    <col min="12" max="12" width="28.88671875" bestFit="1" customWidth="1"/>
    <col min="13" max="13" width="29.5546875" bestFit="1" customWidth="1"/>
    <col min="14" max="14" width="16.21875" bestFit="1" customWidth="1"/>
    <col min="15" max="15" width="27.6640625" bestFit="1" customWidth="1"/>
    <col min="16" max="16" width="28.3320312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22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s="3" t="s">
        <v>48</v>
      </c>
      <c r="N1" s="3" t="s">
        <v>60</v>
      </c>
      <c r="O1" s="3" t="s">
        <v>29</v>
      </c>
      <c r="P1" s="3" t="s">
        <v>34</v>
      </c>
      <c r="Q1" s="3"/>
      <c r="R1" s="3"/>
      <c r="S1" s="3"/>
      <c r="T1" s="3"/>
      <c r="U1" s="3"/>
      <c r="V1" s="3"/>
    </row>
    <row r="2" spans="1:22" x14ac:dyDescent="0.3">
      <c r="Q2" s="3"/>
      <c r="R2" s="3"/>
      <c r="S2" s="3"/>
      <c r="T2" s="3"/>
      <c r="U2" s="3"/>
      <c r="V2" s="3"/>
    </row>
    <row r="3" spans="1:22" x14ac:dyDescent="0.3">
      <c r="Q3" s="3"/>
      <c r="R3" s="3"/>
      <c r="S3" s="3"/>
      <c r="T3" s="3"/>
      <c r="U3" s="3"/>
      <c r="V3" s="3"/>
    </row>
    <row r="4" spans="1:22" x14ac:dyDescent="0.3">
      <c r="Q4" s="3"/>
      <c r="R4" s="3"/>
      <c r="S4" s="3"/>
      <c r="T4" s="3"/>
      <c r="U4" s="3"/>
      <c r="V4" s="3"/>
    </row>
    <row r="5" spans="1:22" x14ac:dyDescent="0.3">
      <c r="Q5" s="3"/>
      <c r="R5" s="3"/>
      <c r="S5" s="3"/>
      <c r="T5" s="3"/>
      <c r="U5" s="3"/>
      <c r="V5" s="3"/>
    </row>
    <row r="6" spans="1:22" x14ac:dyDescent="0.3">
      <c r="Q6" s="3"/>
      <c r="R6" s="3"/>
      <c r="S6" s="3"/>
      <c r="T6" s="3"/>
      <c r="U6" s="3"/>
      <c r="V6" s="3"/>
    </row>
    <row r="7" spans="1:22" x14ac:dyDescent="0.3">
      <c r="Q7" s="3"/>
      <c r="R7" s="3"/>
      <c r="S7" s="3"/>
      <c r="T7" s="3"/>
      <c r="U7" s="3"/>
      <c r="V7" s="3"/>
    </row>
    <row r="8" spans="1:22" x14ac:dyDescent="0.3">
      <c r="Q8" s="3"/>
      <c r="R8" s="3"/>
      <c r="S8" s="3"/>
      <c r="T8" s="3"/>
      <c r="U8" s="3"/>
      <c r="V8" s="3"/>
    </row>
    <row r="9" spans="1:22" x14ac:dyDescent="0.3">
      <c r="Q9" s="3"/>
      <c r="R9" s="3"/>
      <c r="S9" s="3"/>
      <c r="T9" s="3"/>
      <c r="U9" s="3"/>
      <c r="V9" s="3"/>
    </row>
    <row r="10" spans="1:22" x14ac:dyDescent="0.3">
      <c r="Q10" s="3"/>
      <c r="R10" s="3"/>
      <c r="S10" s="3"/>
      <c r="T10" s="3"/>
      <c r="U10" s="3"/>
      <c r="V10" s="3"/>
    </row>
    <row r="11" spans="1:22" x14ac:dyDescent="0.3">
      <c r="Q11" s="3"/>
      <c r="R11" s="3"/>
      <c r="S11" s="3"/>
      <c r="T11" s="3"/>
      <c r="U11" s="3"/>
      <c r="V11" s="3"/>
    </row>
    <row r="12" spans="1:22" x14ac:dyDescent="0.3">
      <c r="Q12" s="3"/>
      <c r="R12" s="3"/>
      <c r="S12" s="3"/>
      <c r="T12" s="3"/>
      <c r="U12" s="3"/>
      <c r="V12" s="3"/>
    </row>
    <row r="13" spans="1:22" x14ac:dyDescent="0.3">
      <c r="Q13" s="3"/>
      <c r="R13" s="3"/>
      <c r="S13" s="3"/>
      <c r="T13" s="3"/>
      <c r="U13" s="3"/>
      <c r="V13" s="3"/>
    </row>
    <row r="17" spans="2:22" x14ac:dyDescent="0.3">
      <c r="B17" s="5"/>
      <c r="M17" s="3"/>
      <c r="N17" s="3"/>
      <c r="O17" s="3"/>
      <c r="P17" s="3"/>
    </row>
    <row r="18" spans="2:22" x14ac:dyDescent="0.3">
      <c r="B18" s="5"/>
    </row>
    <row r="19" spans="2:22" x14ac:dyDescent="0.3">
      <c r="B19" s="5"/>
    </row>
    <row r="20" spans="2:22" x14ac:dyDescent="0.3">
      <c r="B20" s="5"/>
    </row>
    <row r="21" spans="2:22" x14ac:dyDescent="0.3">
      <c r="B21" s="5"/>
    </row>
    <row r="22" spans="2:22" x14ac:dyDescent="0.3">
      <c r="B22" s="5"/>
    </row>
    <row r="23" spans="2:22" x14ac:dyDescent="0.3">
      <c r="B23" s="5"/>
    </row>
    <row r="24" spans="2:22" x14ac:dyDescent="0.3">
      <c r="B24" s="5"/>
    </row>
    <row r="25" spans="2:22" x14ac:dyDescent="0.3">
      <c r="B25" s="5"/>
    </row>
    <row r="26" spans="2:22" x14ac:dyDescent="0.3">
      <c r="B26" s="5"/>
    </row>
    <row r="27" spans="2:22" x14ac:dyDescent="0.3">
      <c r="B27" s="5"/>
    </row>
    <row r="28" spans="2:22" x14ac:dyDescent="0.3">
      <c r="B28" s="5"/>
    </row>
    <row r="29" spans="2:22" x14ac:dyDescent="0.3">
      <c r="B29" s="5"/>
    </row>
    <row r="30" spans="2:22" x14ac:dyDescent="0.3">
      <c r="B30" s="5"/>
    </row>
    <row r="31" spans="2:22" x14ac:dyDescent="0.3">
      <c r="B31" s="5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45" spans="17:22" x14ac:dyDescent="0.3">
      <c r="Q45" s="3"/>
      <c r="R45" s="3"/>
      <c r="S45" s="3"/>
      <c r="T45" s="3"/>
      <c r="U45" s="3"/>
      <c r="V45" s="3"/>
    </row>
  </sheetData>
  <phoneticPr fontId="2" type="noConversion"/>
  <conditionalFormatting sqref="K1:P2 K17:P17 Q45:V45 K31:V31">
    <cfRule type="expression" dxfId="4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Mark Glavach</cp:lastModifiedBy>
  <cp:lastPrinted>2022-03-22T10:33:10Z</cp:lastPrinted>
  <dcterms:created xsi:type="dcterms:W3CDTF">2020-06-29T21:30:31Z</dcterms:created>
  <dcterms:modified xsi:type="dcterms:W3CDTF">2022-04-22T16:15:33Z</dcterms:modified>
</cp:coreProperties>
</file>