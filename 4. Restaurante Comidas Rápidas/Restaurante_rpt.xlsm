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\Edwin\Documents\Info Personal\University\2023 - I\Simulación\Arena\4. Restaurante Comidas Rápidas\"/>
    </mc:Choice>
  </mc:AlternateContent>
  <xr:revisionPtr revIDLastSave="0" documentId="13_ncr:1_{07BF6DEA-D4DE-43EE-BDEB-1DA2F40CA3C9}" xr6:coauthVersionLast="47" xr6:coauthVersionMax="47" xr10:uidLastSave="{00000000-0000-0000-0000-000000000000}"/>
  <bookViews>
    <workbookView xWindow="3825" yWindow="2280" windowWidth="21600" windowHeight="1129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ContinuousTimeStatsByRep!$A$1:$L$12</definedName>
    <definedName name="ExternalData_1" localSheetId="4" hidden="1">CounterStatsByRep!$A$1:$G$3</definedName>
    <definedName name="ExternalData_1" localSheetId="2" hidden="1">DiscreteTimeStatsByRep!$A$1:$K$3</definedName>
    <definedName name="ExternalData_1" localSheetId="6" hidden="1">FrequencyStatsByRep!$A$1:$J$2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K3" i="20" s="1" a="1"/>
  <c r="K3" i="20" s="1"/>
  <c r="I5" i="20"/>
  <c r="I6" i="20"/>
  <c r="O4" i="20" s="1" a="1"/>
  <c r="O4" i="20" s="1"/>
  <c r="I7" i="20"/>
  <c r="I8" i="20"/>
  <c r="K8" i="20" s="1" a="1"/>
  <c r="K8" i="20" s="1"/>
  <c r="J2" i="20" a="1"/>
  <c r="J2" i="20" s="1"/>
  <c r="J3" i="20" a="1"/>
  <c r="J3" i="20" s="1"/>
  <c r="J4" i="20" a="1"/>
  <c r="J4" i="20" s="1"/>
  <c r="J5" i="20" a="1"/>
  <c r="J5" i="20" s="1"/>
  <c r="N5" i="20" s="1"/>
  <c r="J6" i="20" a="1"/>
  <c r="J6" i="20" s="1"/>
  <c r="J7" i="20" a="1"/>
  <c r="J7" i="20" s="1"/>
  <c r="J8" i="20" a="1"/>
  <c r="J8" i="20" s="1"/>
  <c r="K7" i="20" a="1"/>
  <c r="K7" i="20" s="1"/>
  <c r="L2" i="20" a="1"/>
  <c r="L2" i="20" s="1"/>
  <c r="L5" i="20" a="1"/>
  <c r="L5" i="20" s="1"/>
  <c r="L7" i="20" a="1"/>
  <c r="L7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O3" i="20" a="1"/>
  <c r="O3" i="20" s="1"/>
  <c r="O5" i="20" a="1"/>
  <c r="O5" i="20" s="1"/>
  <c r="O6" i="20" a="1"/>
  <c r="O6" i="20" s="1"/>
  <c r="O8" i="20" a="1"/>
  <c r="O8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H2" i="19"/>
  <c r="H3" i="19"/>
  <c r="I2" i="19" a="1"/>
  <c r="I2" i="19" s="1"/>
  <c r="I3" i="19" a="1"/>
  <c r="I3" i="19" s="1"/>
  <c r="J2" i="19" a="1"/>
  <c r="J2" i="19" s="1"/>
  <c r="J3" i="19" a="1"/>
  <c r="J3" i="19" s="1"/>
  <c r="K2" i="19" a="1"/>
  <c r="K2" i="19" s="1"/>
  <c r="K3" i="19" a="1"/>
  <c r="K3" i="19" s="1"/>
  <c r="L2" i="19" a="1"/>
  <c r="L2" i="19" s="1"/>
  <c r="M2" i="19" s="1"/>
  <c r="L3" i="19" a="1"/>
  <c r="L3" i="19" s="1"/>
  <c r="N2" i="19" a="1"/>
  <c r="N2" i="19" s="1"/>
  <c r="N3" i="19" a="1"/>
  <c r="N3" i="19" s="1"/>
  <c r="O2" i="19" a="1"/>
  <c r="O2" i="19" s="1"/>
  <c r="O3" i="19" a="1"/>
  <c r="O3" i="19" s="1"/>
  <c r="M2" i="18"/>
  <c r="M3" i="18"/>
  <c r="M4" i="18"/>
  <c r="S3" i="18" s="1" a="1"/>
  <c r="S3" i="18" s="1"/>
  <c r="M5" i="18"/>
  <c r="S5" i="18" s="1" a="1"/>
  <c r="S5" i="18" s="1"/>
  <c r="M6" i="18"/>
  <c r="M7" i="18"/>
  <c r="M8" i="18"/>
  <c r="M9" i="18"/>
  <c r="M10" i="18"/>
  <c r="M11" i="18"/>
  <c r="M12" i="18"/>
  <c r="N2" i="18" a="1"/>
  <c r="N2" i="18" s="1"/>
  <c r="N3" i="18" a="1"/>
  <c r="N3" i="18" s="1"/>
  <c r="R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P2" i="18" a="1"/>
  <c r="P2" i="18" s="1"/>
  <c r="P3" i="18" a="1"/>
  <c r="P3" i="18" s="1"/>
  <c r="P4" i="18" a="1"/>
  <c r="P4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Q2" i="18" a="1"/>
  <c r="Q2" i="18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S2" i="18" a="1"/>
  <c r="S2" i="18" s="1"/>
  <c r="S4" i="18" a="1"/>
  <c r="S4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T3" i="18" a="1"/>
  <c r="T3" i="18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L2" i="17"/>
  <c r="U2" i="17" s="1" a="1"/>
  <c r="U2" i="17" s="1"/>
  <c r="L3" i="17"/>
  <c r="M2" i="17" a="1"/>
  <c r="M2" i="17" s="1"/>
  <c r="M3" i="17" a="1"/>
  <c r="M3" i="17" s="1"/>
  <c r="P2" i="17" a="1"/>
  <c r="P2" i="17" s="1"/>
  <c r="P3" i="17" a="1"/>
  <c r="P3" i="17" s="1"/>
  <c r="G2" i="16"/>
  <c r="N7" i="20" l="1"/>
  <c r="L8" i="20" a="1"/>
  <c r="L8" i="20" s="1"/>
  <c r="N8" i="20" s="1"/>
  <c r="O7" i="20" a="1"/>
  <c r="O7" i="20" s="1"/>
  <c r="L6" i="20" a="1"/>
  <c r="L6" i="20" s="1"/>
  <c r="N6" i="20" s="1"/>
  <c r="L4" i="20" a="1"/>
  <c r="L4" i="20" s="1"/>
  <c r="N4" i="20" s="1"/>
  <c r="L3" i="20" a="1"/>
  <c r="L3" i="20" s="1"/>
  <c r="N3" i="20" s="1"/>
  <c r="K2" i="20" a="1"/>
  <c r="K2" i="20" s="1"/>
  <c r="K6" i="20" a="1"/>
  <c r="K6" i="20" s="1"/>
  <c r="K5" i="20" a="1"/>
  <c r="K5" i="20" s="1"/>
  <c r="K4" i="20" a="1"/>
  <c r="K4" i="20" s="1"/>
  <c r="N2" i="20"/>
  <c r="O2" i="20" a="1"/>
  <c r="O2" i="20" s="1"/>
  <c r="M3" i="19"/>
  <c r="R11" i="18"/>
  <c r="U11" i="18"/>
  <c r="O2" i="18" a="1"/>
  <c r="O2" i="18" s="1"/>
  <c r="P5" i="18" a="1"/>
  <c r="P5" i="18" s="1"/>
  <c r="R5" i="18" s="1"/>
  <c r="U5" i="18"/>
  <c r="U2" i="18"/>
  <c r="R2" i="18"/>
  <c r="U12" i="18"/>
  <c r="R12" i="18"/>
  <c r="R4" i="18"/>
  <c r="U4" i="18"/>
  <c r="R10" i="18"/>
  <c r="U10" i="18"/>
  <c r="R9" i="18"/>
  <c r="U9" i="18"/>
  <c r="R7" i="18"/>
  <c r="U7" i="18"/>
  <c r="R8" i="18"/>
  <c r="U8" i="18"/>
  <c r="R6" i="18"/>
  <c r="U6" i="18"/>
  <c r="U3" i="18"/>
  <c r="S7" i="18" a="1"/>
  <c r="S7" i="18" s="1"/>
  <c r="S6" i="18" a="1"/>
  <c r="S6" i="18" s="1"/>
  <c r="T2" i="18" a="1"/>
  <c r="T2" i="18" s="1"/>
  <c r="V2" i="17" a="1"/>
  <c r="V2" i="17" s="1"/>
  <c r="T2" i="17" a="1"/>
  <c r="T2" i="17" s="1"/>
  <c r="S2" i="17" a="1"/>
  <c r="S2" i="17" s="1"/>
  <c r="R3" i="17" a="1"/>
  <c r="R3" i="17" s="1"/>
  <c r="T3" i="17" a="1"/>
  <c r="T3" i="17" s="1"/>
  <c r="S3" i="17" a="1"/>
  <c r="S3" i="17" s="1"/>
  <c r="R2" i="17" a="1"/>
  <c r="R2" i="17" s="1"/>
  <c r="O3" i="17" a="1"/>
  <c r="O3" i="17" s="1"/>
  <c r="X3" i="17" a="1"/>
  <c r="X3" i="17" s="1"/>
  <c r="Y3" i="17" s="1"/>
  <c r="Q3" i="17" s="1"/>
  <c r="O2" i="17" a="1"/>
  <c r="O2" i="17" s="1"/>
  <c r="N3" i="17" a="1"/>
  <c r="N3" i="17" s="1"/>
  <c r="V3" i="17" a="1"/>
  <c r="V3" i="17" s="1"/>
  <c r="N2" i="17" a="1"/>
  <c r="N2" i="17" s="1"/>
  <c r="X2" i="17" a="1"/>
  <c r="X2" i="17" s="1"/>
  <c r="Y2" i="17" s="1"/>
  <c r="Q2" i="17" s="1"/>
  <c r="U3" i="17" a="1"/>
  <c r="U3" i="17" s="1"/>
  <c r="W3" i="17"/>
  <c r="W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{SQLite3 ODBC Driver};Database=d:\user\edwin\documents\info personal\university\2023 - i\simulación\arena\4. restaurante comidas rápidas\restaurante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7" saveData="1">
    <dbPr connection="Driver={SQLite3 ODBC Driver};Database=d:\user\edwin\documents\info personal\university\2023 - i\simulación\arena\4. restaurante comidas rápidas\restaurante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7" saveData="1">
    <dbPr connection="Driver={SQLite3 ODBC Driver};Database=d:\user\edwin\documents\info personal\university\2023 - i\simulación\arena\4. restaurante comidas rápidas\restaurante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7" saveData="1">
    <dbPr connection="Driver={SQLite3 ODBC Driver};Database=d:\user\edwin\documents\info personal\university\2023 - i\simulación\arena\4. restaurante comidas rápidas\restaurante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7" saveData="1">
    <dbPr connection="Driver={SQLite3 ODBC Driver};Database=d:\user\edwin\documents\info personal\university\2023 - i\simulación\arena\4. restaurante comidas rápidas\restaurante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7" saveData="1">
    <dbPr connection="Driver={SQLite3 ODBC Driver};Database=d:\user\edwin\documents\info personal\university\2023 - i\simulación\arena\4. restaurante comidas rápidas\restaurante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<sst xmlns="http://schemas.openxmlformats.org/spreadsheetml/2006/main" count="336" uniqueCount="102">
  <si>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</si>
  <si>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</si>
  <si>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</si>
  <si>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</si>
  <si>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</si>
  <si>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</si>
  <si>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</si>
  <si>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</si>
  <si>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</si>
  <si>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</si>
  <si>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</si>
  <si>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</si>
  <si>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</si>
  <si>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</si>
  <si>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</si>
  <si>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</si>
  <si>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</si>
  <si>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</si>
  <si>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</si>
  <si>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</si>
  <si>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</si>
  <si>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</si>
  <si>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</si>
  <si>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</si>
  <si>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</si>
  <si>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</si>
  <si>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</si>
  <si>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</si>
  <si>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</si>
  <si>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</si>
  <si>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</si>
  <si>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</si>
  <si>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</si>
  <si>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</si>
  <si>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</si>
  <si>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</si>
  <si>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</si>
  <si>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</si>
  <si>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</si>
  <si>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</si>
  <si>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</si>
  <si>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</si>
  <si>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</si>
  <si>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</si>
  <si>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</si>
  <si>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</si>
  <si>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</si>
  <si>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</si>
  <si>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</si>
  <si>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</si>
  <si>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</si>
  <si>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</si>
  <si>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</si>
  <si>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</si>
  <si>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</si>
  <si>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</si>
  <si>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</si>
  <si>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</si>
  <si>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</si>
  <si>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</si>
  <si>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</si>
  <si>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</si>
  <si>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</si>
  <si>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</si>
  <si>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</si>
  <si>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</si>
  <si>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</si>
  <si>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Ejemplo Comida Rapida</t>
  </si>
  <si>
    <t>D:\User\Edwin\Documents\Info Personal\University\2023 - I\Simulación\Arena\4. Restaurante Comidas Rápidas\Restaurante.p</t>
  </si>
  <si>
    <t>2023-05-24 18:47:53</t>
  </si>
  <si>
    <t>Caja.Queue</t>
  </si>
  <si>
    <t>Waiting Time</t>
  </si>
  <si>
    <t>Queue</t>
  </si>
  <si>
    <t>Cocina.Queue</t>
  </si>
  <si>
    <t>Number Waiting</t>
  </si>
  <si>
    <t>Cajero</t>
  </si>
  <si>
    <t>Instantaneous Utilization</t>
  </si>
  <si>
    <t>Resource</t>
  </si>
  <si>
    <t>Number Busy</t>
  </si>
  <si>
    <t>Number Scheduled</t>
  </si>
  <si>
    <t>Cliente</t>
  </si>
  <si>
    <t>WIP</t>
  </si>
  <si>
    <t>Entity</t>
  </si>
  <si>
    <t>Cocinero</t>
  </si>
  <si>
    <t>Juntar Pedido y Cliente.Queue1</t>
  </si>
  <si>
    <t>Juntar Pedido y Cliente.Queue2</t>
  </si>
  <si>
    <t>Clientes Atendidos</t>
  </si>
  <si>
    <t>Count</t>
  </si>
  <si>
    <t>User Specified</t>
  </si>
  <si>
    <t>Clientes que Ingresan</t>
  </si>
  <si>
    <t>Cajero.NumberSeized</t>
  </si>
  <si>
    <t>Total Number Seized</t>
  </si>
  <si>
    <t>Cajero.ScheduledUtilization</t>
  </si>
  <si>
    <t>Scheduled Utilization</t>
  </si>
  <si>
    <t>Cliente.NumberIn</t>
  </si>
  <si>
    <t>Number In</t>
  </si>
  <si>
    <t>Cliente.NumberOut</t>
  </si>
  <si>
    <t>Number Out</t>
  </si>
  <si>
    <t>Cocinero.NumberSeized</t>
  </si>
  <si>
    <t>Cocinero.ScheduledUtilization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</si>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</sst>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70.823128587966" createdVersion="7" refreshedVersion="7" minRefreshableVersion="3" recordCount="2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Ejemplo Comida Rapida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Caja.Queue"/>
        <s v="Cocina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m u="1"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</sharedItems>
    </cacheField>
    <cacheField name="Source" numFmtId="0">
      <sharedItems containsBlank="1" count="5">
        <s v="Queue"/>
        <m u="1"/>
        <s v="Process" u="1"/>
        <s v="Entity" u="1"/>
        <s v="User Specified" u="1"/>
      </sharedItems>
    </cacheField>
    <cacheField name="Average" numFmtId="0">
      <sharedItems containsSemiMixedTypes="0" containsString="0" containsNumber="1" minValue="0" maxValue="0.31542154969870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2.0426465284851001"/>
    </cacheField>
    <cacheField name="NumberObservations" numFmtId="0">
      <sharedItems containsSemiMixedTypes="0" containsString="0" containsNumber="1" containsInteger="1" minValue="2" maxValue="3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31542154969870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315421549698708"/>
    </cacheField>
    <cacheField name="MaximumAverage" numFmtId="0">
      <sharedItems containsSemiMixedTypes="0" containsString="0" containsNumber="1" minValue="0" maxValue="0.315421549698708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2.0426465284851001"/>
    </cacheField>
    <cacheField name="AverageNumberObservations" numFmtId="0">
      <sharedItems containsSemiMixedTypes="0" containsString="0" containsNumber="1" containsInteger="1" minValue="2" maxValue="31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70.823128703705" createdVersion="7" refreshedVersion="7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Ejemplo Comida Rapida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Cajero.NumberSeized"/>
        <s v="Cajero.ScheduledUtilization"/>
        <s v="Cliente.NumberIn"/>
        <s v="Cliente.NumberOut"/>
        <s v="Cocinero.NumberSeized"/>
        <s v="Cocinero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6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62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62"/>
    </cacheField>
    <cacheField name="Maximum" numFmtId="0">
      <sharedItems containsSemiMixedTypes="0" containsString="0" containsNumber="1" minValue="0" maxValue="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70.823128819444" createdVersion="7" refreshedVersion="7" minRefreshableVersion="3" recordCount="2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Ejemplo Comida Rapida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6">
        <s v="Clientes Atendidos"/>
        <s v="Clientes que Ingresan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3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0" maxValue="31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0" maxValue="31"/>
    </cacheField>
    <cacheField name="Maximum" numFmtId="0">
      <sharedItems containsSemiMixedTypes="0" containsString="0" containsNumber="1" containsInteger="1" minValue="0" maxValue="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70.823128935182" createdVersion="7" refreshedVersion="7" minRefreshableVersion="3" recordCount="1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Ejemplo Comida Rapida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Caja.Queue"/>
        <s v="Cajero"/>
        <s v="Cliente"/>
        <s v="Cocina.Queue"/>
        <s v="Cocinero"/>
        <s v="Juntar Pedido y Cliente.Queue1"/>
        <s v="Juntar Pedido y Cliente.Queue2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" maxValue="33.8801838322684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62"/>
    </cacheField>
    <cacheField name="LastRecordedValue" numFmtId="0">
      <sharedItems containsSemiMixedTypes="0" containsString="0" containsNumber="1" containsInteger="1" minValue="0" maxValue="6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3.8801838322684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3.880183832268401"/>
    </cacheField>
    <cacheField name="MaximumAverage" numFmtId="0">
      <sharedItems containsSemiMixedTypes="0" containsString="0" containsNumber="1" minValue="0" maxValue="33.880183832268401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70.823129050928" createdVersion="7" refreshedVersion="7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3-05-24 18:47:53"/>
    <n v="1"/>
    <x v="0"/>
    <x v="0"/>
    <x v="0"/>
    <n v="0.315421549698708"/>
    <n v="2E+20"/>
    <n v="0"/>
    <n v="2.0426465284851001"/>
    <n v="31"/>
    <s v="Ejemplo Comida RapidaCaja.QueueWaiting TimeQueue"/>
    <n v="1"/>
    <n v="0.315421549698708"/>
    <n v="0"/>
    <n v="0.95"/>
    <n v="4E+20"/>
    <n v="0.315421549698708"/>
    <n v="0.315421549698708"/>
    <n v="0"/>
    <n v="2.0426465284851001"/>
    <n v="31"/>
    <n v="2E+20"/>
    <n v="1"/>
    <n v="1"/>
  </r>
  <r>
    <x v="0"/>
    <s v="2023-05-24 18:47:53"/>
    <n v="1"/>
    <x v="1"/>
    <x v="0"/>
    <x v="0"/>
    <n v="0"/>
    <n v="2E+20"/>
    <n v="0"/>
    <n v="0"/>
    <n v="2"/>
    <s v="Ejemplo Comida RapidaCocina.QueueWaiting TimeQueue"/>
    <n v="1"/>
    <n v="0"/>
    <n v="0"/>
    <n v="0.95"/>
    <n v="4E+20"/>
    <n v="0"/>
    <n v="0"/>
    <n v="0"/>
    <n v="0"/>
    <n v="2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05-24 18:47:53"/>
    <n v="1"/>
    <x v="0"/>
    <x v="0"/>
    <x v="0"/>
    <n v="31"/>
    <n v="0"/>
    <s v="Ejemplo Comida RapidaCajero.NumberSeizedTotal Number SeizedResource"/>
    <n v="1"/>
    <n v="31"/>
    <n v="0"/>
    <n v="0.95"/>
    <n v="4E+20"/>
    <n v="31"/>
    <n v="31"/>
  </r>
  <r>
    <x v="0"/>
    <s v="2023-05-24 18:47:53"/>
    <n v="1"/>
    <x v="1"/>
    <x v="1"/>
    <x v="0"/>
    <n v="0.71733299410033502"/>
    <n v="0"/>
    <s v="Ejemplo Comida RapidaCajero.ScheduledUtilizationScheduled UtilizationResource"/>
    <n v="1"/>
    <n v="0.71733299410033502"/>
    <n v="0"/>
    <n v="0.95"/>
    <n v="4E+20"/>
    <n v="0.71733299410033502"/>
    <n v="0.71733299410033502"/>
  </r>
  <r>
    <x v="0"/>
    <s v="2023-05-24 18:47:53"/>
    <n v="1"/>
    <x v="2"/>
    <x v="2"/>
    <x v="1"/>
    <n v="62"/>
    <n v="0"/>
    <s v="Ejemplo Comida RapidaCliente.NumberInNumber InEntity"/>
    <n v="1"/>
    <n v="62"/>
    <n v="0"/>
    <n v="0.95"/>
    <n v="4E+20"/>
    <n v="62"/>
    <n v="62"/>
  </r>
  <r>
    <x v="0"/>
    <s v="2023-05-24 18:47:53"/>
    <n v="1"/>
    <x v="3"/>
    <x v="3"/>
    <x v="1"/>
    <n v="0"/>
    <n v="0"/>
    <s v="Ejemplo Comida RapidaCliente.NumberOutNumber OutEntity"/>
    <n v="1"/>
    <n v="0"/>
    <n v="0"/>
    <n v="0.95"/>
    <n v="4E+20"/>
    <n v="0"/>
    <n v="0"/>
  </r>
  <r>
    <x v="0"/>
    <s v="2023-05-24 18:47:53"/>
    <n v="1"/>
    <x v="4"/>
    <x v="0"/>
    <x v="0"/>
    <n v="2"/>
    <n v="0"/>
    <s v="Ejemplo Comida RapidaCocinero.NumberSeizedTotal Number SeizedResource"/>
    <n v="1"/>
    <n v="2"/>
    <n v="0"/>
    <n v="0.95"/>
    <n v="4E+20"/>
    <n v="2"/>
    <n v="2"/>
  </r>
  <r>
    <x v="0"/>
    <s v="2023-05-24 18:47:53"/>
    <n v="1"/>
    <x v="5"/>
    <x v="1"/>
    <x v="0"/>
    <n v="0.94514277980147399"/>
    <n v="0"/>
    <s v="Ejemplo Comida RapidaCocinero.ScheduledUtilizationScheduled UtilizationResource"/>
    <n v="1"/>
    <n v="0.94514277980147399"/>
    <n v="0"/>
    <n v="0.95"/>
    <n v="4E+20"/>
    <n v="0.94514277980147399"/>
    <n v="0.94514277980147399"/>
  </r>
  <r>
    <x v="0"/>
    <s v="2023-05-24 18:47:53"/>
    <n v="1"/>
    <x v="6"/>
    <x v="3"/>
    <x v="2"/>
    <n v="0"/>
    <n v="0"/>
    <s v="Ejemplo Comida RapidaSystem.NumberOutNumber OutSystem"/>
    <n v="1"/>
    <n v="0"/>
    <n v="0"/>
    <n v="0.95"/>
    <n v="4E+2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3-05-24 18:47:53"/>
    <n v="1"/>
    <x v="0"/>
    <x v="0"/>
    <x v="0"/>
    <n v="0"/>
    <s v="Ejemplo Comida RapidaClientes AtendidosCountUser Specified"/>
    <n v="1"/>
    <n v="0"/>
    <n v="0"/>
    <n v="0.95"/>
    <n v="4E+20"/>
    <n v="0"/>
    <n v="0"/>
  </r>
  <r>
    <x v="0"/>
    <s v="2023-05-24 18:47:53"/>
    <n v="1"/>
    <x v="1"/>
    <x v="0"/>
    <x v="0"/>
    <n v="31"/>
    <s v="Ejemplo Comida RapidaClientes que IngresanCountUser Specified"/>
    <n v="1"/>
    <n v="31"/>
    <n v="0"/>
    <n v="0.95"/>
    <n v="4E+20"/>
    <n v="31"/>
    <n v="3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3-05-24 18:47:53"/>
    <n v="1"/>
    <x v="0"/>
    <x v="0"/>
    <x v="0"/>
    <n v="0.29340782508167401"/>
    <n v="2E+20"/>
    <n v="0"/>
    <n v="3"/>
    <n v="0"/>
    <n v="0"/>
    <s v="Ejemplo Comida RapidaCaja.QueueNumber WaitingQueue"/>
    <n v="1"/>
    <n v="0.29340782508167401"/>
    <n v="0"/>
    <n v="0.95"/>
    <n v="4E+20"/>
    <n v="0.29340782508167401"/>
    <n v="0.29340782508167401"/>
    <n v="2E+20"/>
  </r>
  <r>
    <x v="0"/>
    <s v="2023-05-24 18:47:53"/>
    <n v="1"/>
    <x v="1"/>
    <x v="1"/>
    <x v="1"/>
    <n v="0.71733299410033502"/>
    <n v="2E+20"/>
    <n v="0"/>
    <n v="1"/>
    <n v="0"/>
    <n v="0"/>
    <s v="Ejemplo Comida RapidaCajeroInstantaneous UtilizationResource"/>
    <n v="1"/>
    <n v="0.71733299410033502"/>
    <n v="0"/>
    <n v="0.95"/>
    <n v="4E+20"/>
    <n v="0.71733299410033502"/>
    <n v="0.71733299410033502"/>
    <n v="2E+20"/>
  </r>
  <r>
    <x v="0"/>
    <s v="2023-05-24 18:47:53"/>
    <n v="1"/>
    <x v="1"/>
    <x v="2"/>
    <x v="1"/>
    <n v="1.43466598820067"/>
    <n v="2E+20"/>
    <n v="0"/>
    <n v="2"/>
    <n v="0"/>
    <n v="0"/>
    <s v="Ejemplo Comida RapidaCajeroNumber BusyResource"/>
    <n v="1"/>
    <n v="1.43466598820067"/>
    <n v="0"/>
    <n v="0.95"/>
    <n v="4E+20"/>
    <n v="1.43466598820067"/>
    <n v="1.43466598820067"/>
    <n v="2E+20"/>
  </r>
  <r>
    <x v="0"/>
    <s v="2023-05-24 18:47:53"/>
    <n v="1"/>
    <x v="1"/>
    <x v="3"/>
    <x v="1"/>
    <n v="2"/>
    <n v="2E+20"/>
    <n v="2"/>
    <n v="2"/>
    <n v="2"/>
    <n v="0"/>
    <s v="Ejemplo Comida RapidaCajeroNumber ScheduledResource"/>
    <n v="1"/>
    <n v="2"/>
    <n v="0"/>
    <n v="0.95"/>
    <n v="4E+20"/>
    <n v="2"/>
    <n v="2"/>
    <n v="2E+20"/>
  </r>
  <r>
    <x v="0"/>
    <s v="2023-05-24 18:47:53"/>
    <n v="1"/>
    <x v="2"/>
    <x v="4"/>
    <x v="2"/>
    <n v="33.880183832268401"/>
    <n v="2E+20"/>
    <n v="0"/>
    <n v="62"/>
    <n v="62"/>
    <n v="0"/>
    <s v="Ejemplo Comida RapidaClienteWIPEntity"/>
    <n v="1"/>
    <n v="33.880183832268401"/>
    <n v="0"/>
    <n v="0.95"/>
    <n v="4E+20"/>
    <n v="33.880183832268401"/>
    <n v="33.880183832268401"/>
    <n v="2E+20"/>
  </r>
  <r>
    <x v="0"/>
    <s v="2023-05-24 18:47:53"/>
    <n v="1"/>
    <x v="3"/>
    <x v="0"/>
    <x v="0"/>
    <n v="14.185769449890101"/>
    <n v="2E+20"/>
    <n v="0"/>
    <n v="29"/>
    <n v="29"/>
    <n v="0"/>
    <s v="Ejemplo Comida RapidaCocina.QueueNumber WaitingQueue"/>
    <n v="1"/>
    <n v="14.185769449890101"/>
    <n v="0"/>
    <n v="0.95"/>
    <n v="4E+20"/>
    <n v="14.185769449890101"/>
    <n v="14.185769449890101"/>
    <n v="2E+20"/>
  </r>
  <r>
    <x v="0"/>
    <s v="2023-05-24 18:47:53"/>
    <n v="1"/>
    <x v="4"/>
    <x v="1"/>
    <x v="1"/>
    <n v="0.94514277980147399"/>
    <n v="2E+20"/>
    <n v="0"/>
    <n v="1"/>
    <n v="1"/>
    <n v="0"/>
    <s v="Ejemplo Comida RapidaCocineroInstantaneous UtilizationResource"/>
    <n v="1"/>
    <n v="0.94514277980147399"/>
    <n v="0"/>
    <n v="0.95"/>
    <n v="4E+20"/>
    <n v="0.94514277980147399"/>
    <n v="0.94514277980147399"/>
    <n v="2E+20"/>
  </r>
  <r>
    <x v="0"/>
    <s v="2023-05-24 18:47:53"/>
    <n v="1"/>
    <x v="4"/>
    <x v="2"/>
    <x v="1"/>
    <n v="1.89028555960295"/>
    <n v="2E+20"/>
    <n v="0"/>
    <n v="2"/>
    <n v="2"/>
    <n v="0"/>
    <s v="Ejemplo Comida RapidaCocineroNumber BusyResource"/>
    <n v="1"/>
    <n v="1.89028555960295"/>
    <n v="0"/>
    <n v="0.95"/>
    <n v="4E+20"/>
    <n v="1.89028555960295"/>
    <n v="1.89028555960295"/>
    <n v="2E+20"/>
  </r>
  <r>
    <x v="0"/>
    <s v="2023-05-24 18:47:53"/>
    <n v="1"/>
    <x v="4"/>
    <x v="3"/>
    <x v="1"/>
    <n v="2"/>
    <n v="2E+20"/>
    <n v="2"/>
    <n v="2"/>
    <n v="2"/>
    <n v="0"/>
    <s v="Ejemplo Comida RapidaCocineroNumber ScheduledResource"/>
    <n v="1"/>
    <n v="2"/>
    <n v="0"/>
    <n v="0.95"/>
    <n v="4E+20"/>
    <n v="2"/>
    <n v="2"/>
    <n v="2E+20"/>
  </r>
  <r>
    <x v="0"/>
    <s v="2023-05-24 18:47:53"/>
    <n v="1"/>
    <x v="5"/>
    <x v="0"/>
    <x v="0"/>
    <n v="0"/>
    <n v="2E+20"/>
    <n v="0"/>
    <n v="0"/>
    <n v="0"/>
    <n v="0"/>
    <s v="Ejemplo Comida RapidaJuntar Pedido y Cliente.Queue1Number WaitingQueue"/>
    <n v="1"/>
    <n v="0"/>
    <n v="0"/>
    <n v="0.95"/>
    <n v="4E+20"/>
    <n v="0"/>
    <n v="0"/>
    <n v="2E+20"/>
  </r>
  <r>
    <x v="0"/>
    <s v="2023-05-24 18:47:53"/>
    <n v="1"/>
    <x v="6"/>
    <x v="0"/>
    <x v="0"/>
    <n v="16.076055009493"/>
    <n v="2E+20"/>
    <n v="0"/>
    <n v="31"/>
    <n v="31"/>
    <n v="0"/>
    <s v="Ejemplo Comida RapidaJuntar Pedido y Cliente.Queue2Number WaitingQueue"/>
    <n v="1"/>
    <n v="16.076055009493"/>
    <n v="0"/>
    <n v="0.95"/>
    <n v="4E+20"/>
    <n v="16.076055009493"/>
    <n v="16.076055009493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0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2:M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m="1" x="3"/>
        <item m="1" x="5"/>
        <item m="1" x="7"/>
        <item m="1" x="8"/>
        <item m="1" x="10"/>
        <item m="1" x="9"/>
        <item x="0"/>
        <item m="1" x="2"/>
        <item m="1" x="4"/>
        <item m="1" x="6"/>
        <item m="1" x="1"/>
      </items>
    </pivotField>
    <pivotField axis="axisRow" compact="0" outline="0" showAll="0" defaultSubtotal="0">
      <items count="5">
        <item m="1" x="3"/>
        <item x="0"/>
        <item m="1" x="4"/>
        <item m="1" x="2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">
    <i>
      <x v="3"/>
      <x v="99"/>
      <x v="7"/>
      <x v="1"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2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8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 v="3"/>
      <x v="1"/>
    </i>
    <i r="1">
      <x v="125"/>
      <x/>
      <x v="2"/>
    </i>
    <i r="2">
      <x v="1"/>
      <x v="2"/>
    </i>
    <i r="2">
      <x v="2"/>
      <x v="2"/>
    </i>
    <i r="1">
      <x v="126"/>
      <x v="4"/>
      <x/>
    </i>
    <i r="1">
      <x v="127"/>
      <x v="3"/>
      <x v="1"/>
    </i>
    <i r="1">
      <x v="128"/>
      <x/>
      <x v="2"/>
    </i>
    <i r="2">
      <x v="1"/>
      <x v="2"/>
    </i>
    <i r="2">
      <x v="2"/>
      <x v="2"/>
    </i>
    <i r="1">
      <x v="129"/>
      <x v="3"/>
      <x v="1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4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" tableType="queryTable" totalsRowShown="0">
  <autoFilter ref="A1:Y3" xr:uid="{C3D003CA-1AFF-426C-A03D-D3AF5760DF1A}"/>
  <sortState xmlns:xlrd2="http://schemas.microsoft.com/office/spreadsheetml/2017/richdata2" ref="A2:Y3">
    <sortCondition ref="D1:D3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0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9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8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7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6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5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4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3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2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1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0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2" tableType="queryTable" totalsRowShown="0">
  <autoFilter ref="A1:U1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6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3" tableType="queryTable" totalsRowShown="0">
  <autoFilter ref="A1:O3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4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3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1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0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39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6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2.285156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</v>
      </c>
      <c r="F2">
        <v>33.325859792383199</v>
      </c>
      <c r="G2">
        <f>0.95</f>
        <v>0.95</v>
      </c>
    </row>
  </sheetData>
  <phoneticPr fontId="2" type="noConversion"/>
  <conditionalFormatting sqref="D2">
    <cfRule type="expression" dxfId="38" priority="1">
      <formula>D2=3</formula>
    </cfRule>
    <cfRule type="expression" dxfId="37" priority="2">
      <formula>D2=2</formula>
    </cfRule>
    <cfRule type="expression" dxfId="36" priority="3">
      <formula>D2=1</formula>
    </cfRule>
    <cfRule type="expression" dxfId="35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3"/>
  <sheetViews>
    <sheetView tabSelected="1" workbookViewId="0">
      <selection activeCell="E10" sqref="E10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3">
        <v>0.315421549698708</v>
      </c>
      <c r="F3" s="3">
        <v>1</v>
      </c>
      <c r="G3" s="3">
        <v>2E+20</v>
      </c>
      <c r="H3" s="3">
        <v>0</v>
      </c>
      <c r="I3" s="3">
        <v>0.315421549698708</v>
      </c>
      <c r="J3" s="3">
        <v>0.315421549698708</v>
      </c>
      <c r="K3" s="3">
        <v>0</v>
      </c>
      <c r="L3" s="3">
        <v>2.0426465284851001</v>
      </c>
      <c r="M3" s="3">
        <v>31</v>
      </c>
      <c r="O3" t="s">
        <v>67</v>
      </c>
      <c r="P3" t="s">
        <v>70</v>
      </c>
      <c r="Q3" t="s">
        <v>74</v>
      </c>
      <c r="R3" t="s">
        <v>72</v>
      </c>
      <c r="S3" s="3">
        <v>0.29340782508167401</v>
      </c>
      <c r="T3" s="3">
        <v>2E+20</v>
      </c>
      <c r="U3" s="3">
        <v>0</v>
      </c>
      <c r="V3" s="3">
        <v>0.29340782508167401</v>
      </c>
      <c r="W3" s="3">
        <v>0.29340782508167401</v>
      </c>
      <c r="X3" s="3">
        <v>0</v>
      </c>
      <c r="Y3" s="3">
        <v>3</v>
      </c>
      <c r="AA3" t="s">
        <v>67</v>
      </c>
      <c r="AB3" t="s">
        <v>86</v>
      </c>
      <c r="AC3" t="s">
        <v>87</v>
      </c>
      <c r="AD3" t="s">
        <v>88</v>
      </c>
      <c r="AE3" s="3">
        <v>0</v>
      </c>
      <c r="AF3" s="3">
        <v>4E+20</v>
      </c>
      <c r="AG3" s="3">
        <v>0</v>
      </c>
      <c r="AH3" s="3">
        <v>0</v>
      </c>
      <c r="AI3" s="3">
        <v>0</v>
      </c>
      <c r="AK3" t="s">
        <v>67</v>
      </c>
      <c r="AL3" t="s">
        <v>100</v>
      </c>
      <c r="AM3" t="s">
        <v>97</v>
      </c>
      <c r="AN3" t="s">
        <v>101</v>
      </c>
      <c r="AO3" s="3">
        <v>0</v>
      </c>
      <c r="AP3" s="3">
        <v>4E+20</v>
      </c>
      <c r="AQ3" s="3">
        <v>0</v>
      </c>
      <c r="AR3" s="3">
        <v>0</v>
      </c>
      <c r="AS3" s="3">
        <v>0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B4" t="s">
        <v>73</v>
      </c>
      <c r="C4" t="s">
        <v>71</v>
      </c>
      <c r="D4" t="s">
        <v>72</v>
      </c>
      <c r="E4" s="3">
        <v>0</v>
      </c>
      <c r="F4" s="3">
        <v>1</v>
      </c>
      <c r="G4" s="3">
        <v>2E+20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2</v>
      </c>
      <c r="P4" t="s">
        <v>75</v>
      </c>
      <c r="Q4" t="s">
        <v>76</v>
      </c>
      <c r="R4" t="s">
        <v>77</v>
      </c>
      <c r="S4" s="3">
        <v>0.71733299410033502</v>
      </c>
      <c r="T4" s="3">
        <v>2E+20</v>
      </c>
      <c r="U4" s="3">
        <v>0</v>
      </c>
      <c r="V4" s="3">
        <v>0.71733299410033502</v>
      </c>
      <c r="W4" s="3">
        <v>0.71733299410033502</v>
      </c>
      <c r="X4" s="3">
        <v>0</v>
      </c>
      <c r="Y4" s="3">
        <v>1</v>
      </c>
      <c r="AB4" t="s">
        <v>89</v>
      </c>
      <c r="AC4" t="s">
        <v>87</v>
      </c>
      <c r="AD4" t="s">
        <v>88</v>
      </c>
      <c r="AE4" s="3">
        <v>31</v>
      </c>
      <c r="AF4" s="3">
        <v>4E+20</v>
      </c>
      <c r="AG4" s="3">
        <v>0</v>
      </c>
      <c r="AH4" s="3">
        <v>31</v>
      </c>
      <c r="AI4" s="3">
        <v>31</v>
      </c>
      <c r="AL4" t="s">
        <v>90</v>
      </c>
      <c r="AM4" t="s">
        <v>91</v>
      </c>
      <c r="AN4" t="s">
        <v>77</v>
      </c>
      <c r="AO4" s="3">
        <v>31</v>
      </c>
      <c r="AP4" s="3">
        <v>4E+20</v>
      </c>
      <c r="AQ4" s="3">
        <v>0</v>
      </c>
      <c r="AR4" s="3">
        <v>31</v>
      </c>
      <c r="AS4" s="3">
        <v>31</v>
      </c>
    </row>
    <row r="5" spans="1:52" x14ac:dyDescent="0.25">
      <c r="Q5" t="s">
        <v>78</v>
      </c>
      <c r="R5" t="s">
        <v>77</v>
      </c>
      <c r="S5" s="3">
        <v>1.43466598820067</v>
      </c>
      <c r="T5" s="3">
        <v>2E+20</v>
      </c>
      <c r="U5" s="3">
        <v>0</v>
      </c>
      <c r="V5" s="3">
        <v>1.43466598820067</v>
      </c>
      <c r="W5" s="3">
        <v>1.43466598820067</v>
      </c>
      <c r="X5" s="3">
        <v>0</v>
      </c>
      <c r="Y5" s="3">
        <v>2</v>
      </c>
      <c r="AL5" t="s">
        <v>92</v>
      </c>
      <c r="AM5" t="s">
        <v>93</v>
      </c>
      <c r="AN5" t="s">
        <v>77</v>
      </c>
      <c r="AO5" s="3">
        <v>0.71733299410033502</v>
      </c>
      <c r="AP5" s="3">
        <v>4E+20</v>
      </c>
      <c r="AQ5" s="3">
        <v>0</v>
      </c>
      <c r="AR5" s="3">
        <v>0.71733299410033502</v>
      </c>
      <c r="AS5" s="3">
        <v>0.71733299410033502</v>
      </c>
    </row>
    <row r="6" spans="1:52" x14ac:dyDescent="0.25">
      <c r="Q6" t="s">
        <v>79</v>
      </c>
      <c r="R6" t="s">
        <v>77</v>
      </c>
      <c r="S6" s="3">
        <v>2</v>
      </c>
      <c r="T6" s="3">
        <v>2E+20</v>
      </c>
      <c r="U6" s="3">
        <v>0</v>
      </c>
      <c r="V6" s="3">
        <v>2</v>
      </c>
      <c r="W6" s="3">
        <v>2</v>
      </c>
      <c r="X6" s="3">
        <v>2</v>
      </c>
      <c r="Y6" s="3">
        <v>2</v>
      </c>
      <c r="AL6" t="s">
        <v>94</v>
      </c>
      <c r="AM6" t="s">
        <v>95</v>
      </c>
      <c r="AN6" t="s">
        <v>82</v>
      </c>
      <c r="AO6" s="3">
        <v>62</v>
      </c>
      <c r="AP6" s="3">
        <v>4E+20</v>
      </c>
      <c r="AQ6" s="3">
        <v>0</v>
      </c>
      <c r="AR6" s="3">
        <v>62</v>
      </c>
      <c r="AS6" s="3">
        <v>62</v>
      </c>
    </row>
    <row r="7" spans="1:52" x14ac:dyDescent="0.25">
      <c r="P7" t="s">
        <v>80</v>
      </c>
      <c r="Q7" t="s">
        <v>81</v>
      </c>
      <c r="R7" t="s">
        <v>82</v>
      </c>
      <c r="S7" s="3">
        <v>33.880183832268401</v>
      </c>
      <c r="T7" s="3">
        <v>2E+20</v>
      </c>
      <c r="U7" s="3">
        <v>0</v>
      </c>
      <c r="V7" s="3">
        <v>33.880183832268401</v>
      </c>
      <c r="W7" s="3">
        <v>33.880183832268401</v>
      </c>
      <c r="X7" s="3">
        <v>0</v>
      </c>
      <c r="Y7" s="3">
        <v>62</v>
      </c>
      <c r="AL7" t="s">
        <v>96</v>
      </c>
      <c r="AM7" t="s">
        <v>97</v>
      </c>
      <c r="AN7" t="s">
        <v>82</v>
      </c>
      <c r="AO7" s="3">
        <v>0</v>
      </c>
      <c r="AP7" s="3">
        <v>4E+20</v>
      </c>
      <c r="AQ7" s="3">
        <v>0</v>
      </c>
      <c r="AR7" s="3">
        <v>0</v>
      </c>
      <c r="AS7" s="3">
        <v>0</v>
      </c>
    </row>
    <row r="8" spans="1:52" x14ac:dyDescent="0.25">
      <c r="P8" t="s">
        <v>73</v>
      </c>
      <c r="Q8" t="s">
        <v>74</v>
      </c>
      <c r="R8" t="s">
        <v>72</v>
      </c>
      <c r="S8" s="3">
        <v>14.185769449890101</v>
      </c>
      <c r="T8" s="3">
        <v>2E+20</v>
      </c>
      <c r="U8" s="3">
        <v>0</v>
      </c>
      <c r="V8" s="3">
        <v>14.185769449890101</v>
      </c>
      <c r="W8" s="3">
        <v>14.185769449890101</v>
      </c>
      <c r="X8" s="3">
        <v>0</v>
      </c>
      <c r="Y8" s="3">
        <v>29</v>
      </c>
      <c r="AL8" t="s">
        <v>98</v>
      </c>
      <c r="AM8" t="s">
        <v>91</v>
      </c>
      <c r="AN8" t="s">
        <v>77</v>
      </c>
      <c r="AO8" s="3">
        <v>2</v>
      </c>
      <c r="AP8" s="3">
        <v>4E+20</v>
      </c>
      <c r="AQ8" s="3">
        <v>0</v>
      </c>
      <c r="AR8" s="3">
        <v>2</v>
      </c>
      <c r="AS8" s="3">
        <v>2</v>
      </c>
    </row>
    <row r="9" spans="1:52" x14ac:dyDescent="0.25">
      <c r="P9" t="s">
        <v>83</v>
      </c>
      <c r="Q9" t="s">
        <v>76</v>
      </c>
      <c r="R9" t="s">
        <v>77</v>
      </c>
      <c r="S9" s="3">
        <v>0.94514277980147399</v>
      </c>
      <c r="T9" s="3">
        <v>2E+20</v>
      </c>
      <c r="U9" s="3">
        <v>0</v>
      </c>
      <c r="V9" s="3">
        <v>0.94514277980147399</v>
      </c>
      <c r="W9" s="3">
        <v>0.94514277980147399</v>
      </c>
      <c r="X9" s="3">
        <v>0</v>
      </c>
      <c r="Y9" s="3">
        <v>1</v>
      </c>
      <c r="AL9" t="s">
        <v>99</v>
      </c>
      <c r="AM9" t="s">
        <v>93</v>
      </c>
      <c r="AN9" t="s">
        <v>77</v>
      </c>
      <c r="AO9" s="3">
        <v>0.94514277980147399</v>
      </c>
      <c r="AP9" s="3">
        <v>4E+20</v>
      </c>
      <c r="AQ9" s="3">
        <v>0</v>
      </c>
      <c r="AR9" s="3">
        <v>0.94514277980147399</v>
      </c>
      <c r="AS9" s="3">
        <v>0.94514277980147399</v>
      </c>
    </row>
    <row r="10" spans="1:52" x14ac:dyDescent="0.25">
      <c r="Q10" t="s">
        <v>78</v>
      </c>
      <c r="R10" t="s">
        <v>77</v>
      </c>
      <c r="S10" s="3">
        <v>1.89028555960295</v>
      </c>
      <c r="T10" s="3">
        <v>2E+20</v>
      </c>
      <c r="U10" s="3">
        <v>0</v>
      </c>
      <c r="V10" s="3">
        <v>1.89028555960295</v>
      </c>
      <c r="W10" s="3">
        <v>1.89028555960295</v>
      </c>
      <c r="X10" s="3">
        <v>0</v>
      </c>
      <c r="Y10" s="3">
        <v>2</v>
      </c>
    </row>
    <row r="11" spans="1:52" x14ac:dyDescent="0.25">
      <c r="Q11" t="s">
        <v>79</v>
      </c>
      <c r="R11" t="s">
        <v>77</v>
      </c>
      <c r="S11" s="3">
        <v>2</v>
      </c>
      <c r="T11" s="3">
        <v>2E+20</v>
      </c>
      <c r="U11" s="3">
        <v>0</v>
      </c>
      <c r="V11" s="3">
        <v>2</v>
      </c>
      <c r="W11" s="3">
        <v>2</v>
      </c>
      <c r="X11" s="3">
        <v>2</v>
      </c>
      <c r="Y11" s="3">
        <v>2</v>
      </c>
    </row>
    <row r="12" spans="1:52" x14ac:dyDescent="0.25">
      <c r="P12" t="s">
        <v>84</v>
      </c>
      <c r="Q12" t="s">
        <v>74</v>
      </c>
      <c r="R12" t="s">
        <v>72</v>
      </c>
      <c r="S12" s="3">
        <v>0</v>
      </c>
      <c r="T12" s="3">
        <v>2E+20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</row>
    <row r="13" spans="1:52" x14ac:dyDescent="0.25">
      <c r="P13" t="s">
        <v>85</v>
      </c>
      <c r="Q13" t="s">
        <v>74</v>
      </c>
      <c r="R13" t="s">
        <v>72</v>
      </c>
      <c r="S13" s="3">
        <v>16.076055009493</v>
      </c>
      <c r="T13" s="3">
        <v>2E+20</v>
      </c>
      <c r="U13" s="3">
        <v>0</v>
      </c>
      <c r="V13" s="3">
        <v>16.076055009493</v>
      </c>
      <c r="W13" s="3">
        <v>16.076055009493</v>
      </c>
      <c r="X13" s="3">
        <v>0</v>
      </c>
      <c r="Y13" s="3">
        <v>31</v>
      </c>
    </row>
  </sheetData>
  <dataConsolidate/>
  <conditionalFormatting pivot="1" sqref="G3:G4">
    <cfRule type="expression" dxfId="34" priority="10">
      <formula>G3=200000000000000000000</formula>
    </cfRule>
  </conditionalFormatting>
  <conditionalFormatting pivot="1" sqref="T3:T13">
    <cfRule type="expression" dxfId="33" priority="9">
      <formula>T3=200000000000000000000</formula>
    </cfRule>
  </conditionalFormatting>
  <conditionalFormatting pivot="1" sqref="T3:T13">
    <cfRule type="expression" dxfId="32" priority="8">
      <formula>T3=300000000000000000000</formula>
    </cfRule>
  </conditionalFormatting>
  <conditionalFormatting pivot="1" sqref="G3:G4">
    <cfRule type="expression" dxfId="31" priority="7">
      <formula>G3=300000000000000000000</formula>
    </cfRule>
  </conditionalFormatting>
  <conditionalFormatting pivot="1" sqref="F3:F4">
    <cfRule type="expression" dxfId="30" priority="6">
      <formula>F3=0</formula>
    </cfRule>
  </conditionalFormatting>
  <conditionalFormatting pivot="1" sqref="F3:F4">
    <cfRule type="expression" dxfId="29" priority="5">
      <formula>F3=1</formula>
    </cfRule>
  </conditionalFormatting>
  <conditionalFormatting pivot="1" sqref="T3:T13">
    <cfRule type="expression" dxfId="28" priority="4">
      <formula>T3=400000000000000000000</formula>
    </cfRule>
  </conditionalFormatting>
  <conditionalFormatting pivot="1" sqref="AP3:AP9">
    <cfRule type="expression" dxfId="27" priority="3">
      <formula>AP3=400000000000000000000</formula>
    </cfRule>
  </conditionalFormatting>
  <conditionalFormatting pivot="1" sqref="AF3:AF4">
    <cfRule type="expression" dxfId="26" priority="2">
      <formula>AF3=400000000000000000000</formula>
    </cfRule>
  </conditionalFormatting>
  <conditionalFormatting pivot="1" sqref="G3:G4">
    <cfRule type="expression" dxfId="25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"/>
  <sheetViews>
    <sheetView workbookViewId="0">
      <selection activeCell="K2" sqref="K2"/>
    </sheetView>
  </sheetViews>
  <sheetFormatPr defaultRowHeight="15" x14ac:dyDescent="0.25"/>
  <cols>
    <col min="1" max="2" width="22.28515625" bestFit="1" customWidth="1"/>
    <col min="3" max="3" width="13.28515625" bestFit="1" customWidth="1"/>
    <col min="4" max="4" width="13.5703125" bestFit="1" customWidth="1"/>
    <col min="5" max="5" width="12.7109375" bestFit="1" customWidth="1"/>
    <col min="6" max="6" width="9.28515625" bestFit="1" customWidth="1"/>
    <col min="7" max="7" width="11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3.42578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0.315421549698708</v>
      </c>
      <c r="H2">
        <v>2E+20</v>
      </c>
      <c r="I2">
        <v>0</v>
      </c>
      <c r="J2">
        <v>2.0426465284851001</v>
      </c>
      <c r="K2">
        <v>31</v>
      </c>
      <c r="L2" t="str">
        <f>DiscreteStatsTable[[#This Row],[ProjectName]]&amp;DiscreteStatsTable[[#This Row],[Name]]&amp;DiscreteStatsTable[[#This Row],[Type]]&amp;DiscreteStatsTable[[#This Row],[Source]]</f>
        <v>Ejemplo Comida RapidaCaja.QueueWaiting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0.315421549698708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0.315421549698708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0.315421549698708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2.0426465284851001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31</v>
      </c>
      <c r="W2" s="3">
        <f>IF((DiscreteStatsTable[[#This Row],[RepsRequested]]&gt;1),DiscreteStatsTable[[#This Row],[HalfWidth]],DiscreteStatsTable[[#This Row],[BatchMeansHalfWidth]])</f>
        <v>2E+20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2</v>
      </c>
      <c r="L3" t="str">
        <f>DiscreteStatsTable[[#This Row],[ProjectName]]&amp;DiscreteStatsTable[[#This Row],[Name]]&amp;DiscreteStatsTable[[#This Row],[Type]]&amp;DiscreteStatsTable[[#This Row],[Source]]</f>
        <v>Ejemplo Comida RapidaCocina.QueueWaiting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s="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s="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s="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s="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s="3" cm="1">
        <f t="array" ref="V3">IFERROR(AVERAGE(IF((DiscreteStatsTable[GroupByKey]=DiscreteStatsTable[[#This Row],[GroupByKey]]),(DiscreteStatsTable[GroupByKey]=DiscreteStatsTable[[#This Row],[GroupByKey]])*DiscreteStatsTable[NumberObservations])),0)</f>
        <v>2</v>
      </c>
      <c r="W3" s="3">
        <f>IF((DiscreteStatsTable[[#This Row],[RepsRequested]]&gt;1),DiscreteStatsTable[[#This Row],[HalfWidth]],DiscreteStatsTable[[#This Row],[BatchMeansHalfWidth]])</f>
        <v>2E+20</v>
      </c>
      <c r="X3" s="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</sheetData>
  <phoneticPr fontId="2" type="noConversion"/>
  <conditionalFormatting sqref="H2:H3 Q2:Q3">
    <cfRule type="expression" dxfId="24" priority="23">
      <formula>H2=200000000000000000000</formula>
    </cfRule>
  </conditionalFormatting>
  <conditionalFormatting sqref="H2:H3">
    <cfRule type="expression" dxfId="23" priority="21">
      <formula>H2=300000000000000000000</formula>
    </cfRule>
  </conditionalFormatting>
  <conditionalFormatting sqref="L2:Y3">
    <cfRule type="expression" dxfId="22" priority="19">
      <formula>MOD(ROW(),2)=0</formula>
    </cfRule>
  </conditionalFormatting>
  <conditionalFormatting sqref="Y2:Y3">
    <cfRule type="expression" dxfId="21" priority="14">
      <formula>Y2=0</formula>
    </cfRule>
    <cfRule type="expression" dxfId="20" priority="16">
      <formula>Y2=1</formula>
    </cfRule>
  </conditionalFormatting>
  <conditionalFormatting sqref="Y3">
    <cfRule type="expression" dxfId="19" priority="15">
      <formula>Y3=1</formula>
    </cfRule>
  </conditionalFormatting>
  <conditionalFormatting sqref="W2:W3">
    <cfRule type="expression" dxfId="18" priority="6">
      <formula>W2=300000000000000000000</formula>
    </cfRule>
    <cfRule type="expression" dxfId="17" priority="7">
      <formula>W2=200000000000000000000</formula>
    </cfRule>
  </conditionalFormatting>
  <conditionalFormatting sqref="Q2:Q3 W2:W3">
    <cfRule type="expression" dxfId="1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2"/>
  <sheetViews>
    <sheetView workbookViewId="0">
      <selection activeCell="D2" sqref="D2"/>
    </sheetView>
  </sheetViews>
  <sheetFormatPr defaultRowHeight="15" x14ac:dyDescent="0.25"/>
  <cols>
    <col min="1" max="2" width="22.28515625" bestFit="1" customWidth="1"/>
    <col min="3" max="3" width="13.28515625" bestFit="1" customWidth="1"/>
    <col min="4" max="4" width="29.71093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72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74</v>
      </c>
      <c r="F2" t="s">
        <v>72</v>
      </c>
      <c r="G2">
        <v>0.29340782508167401</v>
      </c>
      <c r="H2">
        <v>2E+20</v>
      </c>
      <c r="I2">
        <v>0</v>
      </c>
      <c r="J2">
        <v>3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Ejemplo Comida RapidaCaja.QueueNumber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0.29340782508167401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0.29340782508167401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0.29340782508167401</v>
      </c>
      <c r="U2" s="3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69</v>
      </c>
      <c r="C3">
        <v>1</v>
      </c>
      <c r="D3" t="s">
        <v>75</v>
      </c>
      <c r="E3" t="s">
        <v>76</v>
      </c>
      <c r="F3" t="s">
        <v>77</v>
      </c>
      <c r="G3">
        <v>0.71733299410033502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Ejemplo Comida RapidaCajeroInstantaneous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0.71733299410033502</v>
      </c>
      <c r="P3" s="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 cm="1">
        <f t="array" ref="S3">MIN(IF((ContinuousStatsTable[GroupByKey]=ContinuousStatsTable[[#This Row],[GroupByKey]]),(ContinuousStatsTable[GroupByKey]=ContinuousStatsTable[[#This Row],[GroupByKey]])*ContinuousStatsTable[Average]))</f>
        <v>0.71733299410033502</v>
      </c>
      <c r="T3" s="3" cm="1">
        <f t="array" ref="T3">MAX(IF((ContinuousStatsTable[GroupByKey]=ContinuousStatsTable[[#This Row],[GroupByKey]]),(ContinuousStatsTable[GroupByKey]=ContinuousStatsTable[[#This Row],[GroupByKey]])*ContinuousStatsTable[Average]))</f>
        <v>0.71733299410033502</v>
      </c>
      <c r="U3" s="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69</v>
      </c>
      <c r="C4">
        <v>1</v>
      </c>
      <c r="D4" t="s">
        <v>75</v>
      </c>
      <c r="E4" t="s">
        <v>78</v>
      </c>
      <c r="F4" t="s">
        <v>77</v>
      </c>
      <c r="G4">
        <v>1.43466598820067</v>
      </c>
      <c r="H4">
        <v>2E+20</v>
      </c>
      <c r="I4">
        <v>0</v>
      </c>
      <c r="J4">
        <v>2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Ejemplo Comida RapidaCajeroNumber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1.43466598820067</v>
      </c>
      <c r="P4" s="3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 cm="1">
        <f t="array" ref="S4">MIN(IF((ContinuousStatsTable[GroupByKey]=ContinuousStatsTable[[#This Row],[GroupByKey]]),(ContinuousStatsTable[GroupByKey]=ContinuousStatsTable[[#This Row],[GroupByKey]])*ContinuousStatsTable[Average]))</f>
        <v>1.43466598820067</v>
      </c>
      <c r="T4" s="3" cm="1">
        <f t="array" ref="T4">MAX(IF((ContinuousStatsTable[GroupByKey]=ContinuousStatsTable[[#This Row],[GroupByKey]]),(ContinuousStatsTable[GroupByKey]=ContinuousStatsTable[[#This Row],[GroupByKey]])*ContinuousStatsTable[Average]))</f>
        <v>1.43466598820067</v>
      </c>
      <c r="U4" s="3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69</v>
      </c>
      <c r="C5">
        <v>1</v>
      </c>
      <c r="D5" t="s">
        <v>75</v>
      </c>
      <c r="E5" t="s">
        <v>79</v>
      </c>
      <c r="F5" t="s">
        <v>77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Ejemplo Comida RapidaCajeroNumber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s="3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s="3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 s="3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69</v>
      </c>
      <c r="C6">
        <v>1</v>
      </c>
      <c r="D6" t="s">
        <v>80</v>
      </c>
      <c r="E6" t="s">
        <v>81</v>
      </c>
      <c r="F6" t="s">
        <v>82</v>
      </c>
      <c r="G6">
        <v>33.880183832268401</v>
      </c>
      <c r="H6">
        <v>2E+20</v>
      </c>
      <c r="I6">
        <v>0</v>
      </c>
      <c r="J6">
        <v>62</v>
      </c>
      <c r="K6">
        <v>62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Ejemplo Comida RapidaClienteWIPEntity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33.880183832268401</v>
      </c>
      <c r="P6" s="3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 cm="1">
        <f t="array" ref="S6">MIN(IF((ContinuousStatsTable[GroupByKey]=ContinuousStatsTable[[#This Row],[GroupByKey]]),(ContinuousStatsTable[GroupByKey]=ContinuousStatsTable[[#This Row],[GroupByKey]])*ContinuousStatsTable[Average]))</f>
        <v>33.880183832268401</v>
      </c>
      <c r="T6" s="3" cm="1">
        <f t="array" ref="T6">MAX(IF((ContinuousStatsTable[GroupByKey]=ContinuousStatsTable[[#This Row],[GroupByKey]]),(ContinuousStatsTable[GroupByKey]=ContinuousStatsTable[[#This Row],[GroupByKey]])*ContinuousStatsTable[Average]))</f>
        <v>33.880183832268401</v>
      </c>
      <c r="U6" s="3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69</v>
      </c>
      <c r="C7">
        <v>1</v>
      </c>
      <c r="D7" t="s">
        <v>73</v>
      </c>
      <c r="E7" t="s">
        <v>74</v>
      </c>
      <c r="F7" t="s">
        <v>72</v>
      </c>
      <c r="G7">
        <v>14.185769449890101</v>
      </c>
      <c r="H7">
        <v>2E+20</v>
      </c>
      <c r="I7">
        <v>0</v>
      </c>
      <c r="J7">
        <v>29</v>
      </c>
      <c r="K7">
        <v>29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Ejemplo Comida RapidaCocina.QueueNumber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14.185769449890101</v>
      </c>
      <c r="P7" s="3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s="3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s="3" cm="1">
        <f t="array" ref="S7">MIN(IF((ContinuousStatsTable[GroupByKey]=ContinuousStatsTable[[#This Row],[GroupByKey]]),(ContinuousStatsTable[GroupByKey]=ContinuousStatsTable[[#This Row],[GroupByKey]])*ContinuousStatsTable[Average]))</f>
        <v>14.185769449890101</v>
      </c>
      <c r="T7" s="3" cm="1">
        <f t="array" ref="T7">MAX(IF((ContinuousStatsTable[GroupByKey]=ContinuousStatsTable[[#This Row],[GroupByKey]]),(ContinuousStatsTable[GroupByKey]=ContinuousStatsTable[[#This Row],[GroupByKey]])*ContinuousStatsTable[Average]))</f>
        <v>14.185769449890101</v>
      </c>
      <c r="U7" s="3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69</v>
      </c>
      <c r="C8">
        <v>1</v>
      </c>
      <c r="D8" t="s">
        <v>83</v>
      </c>
      <c r="E8" t="s">
        <v>76</v>
      </c>
      <c r="F8" t="s">
        <v>77</v>
      </c>
      <c r="G8">
        <v>0.94514277980147399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Ejemplo Comida RapidaCocineroInstantaneous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0.94514277980147399</v>
      </c>
      <c r="P8" s="3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s="3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s="3" cm="1">
        <f t="array" ref="S8">MIN(IF((ContinuousStatsTable[GroupByKey]=ContinuousStatsTable[[#This Row],[GroupByKey]]),(ContinuousStatsTable[GroupByKey]=ContinuousStatsTable[[#This Row],[GroupByKey]])*ContinuousStatsTable[Average]))</f>
        <v>0.94514277980147399</v>
      </c>
      <c r="T8" s="3" cm="1">
        <f t="array" ref="T8">MAX(IF((ContinuousStatsTable[GroupByKey]=ContinuousStatsTable[[#This Row],[GroupByKey]]),(ContinuousStatsTable[GroupByKey]=ContinuousStatsTable[[#This Row],[GroupByKey]])*ContinuousStatsTable[Average]))</f>
        <v>0.94514277980147399</v>
      </c>
      <c r="U8" s="3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69</v>
      </c>
      <c r="C9">
        <v>1</v>
      </c>
      <c r="D9" t="s">
        <v>83</v>
      </c>
      <c r="E9" t="s">
        <v>78</v>
      </c>
      <c r="F9" t="s">
        <v>77</v>
      </c>
      <c r="G9">
        <v>1.89028555960295</v>
      </c>
      <c r="H9">
        <v>2E+20</v>
      </c>
      <c r="I9">
        <v>0</v>
      </c>
      <c r="J9">
        <v>2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Ejemplo Comida RapidaCocineroNumber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1.89028555960295</v>
      </c>
      <c r="P9" s="3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s="3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s="3" cm="1">
        <f t="array" ref="S9">MIN(IF((ContinuousStatsTable[GroupByKey]=ContinuousStatsTable[[#This Row],[GroupByKey]]),(ContinuousStatsTable[GroupByKey]=ContinuousStatsTable[[#This Row],[GroupByKey]])*ContinuousStatsTable[Average]))</f>
        <v>1.89028555960295</v>
      </c>
      <c r="T9" s="3" cm="1">
        <f t="array" ref="T9">MAX(IF((ContinuousStatsTable[GroupByKey]=ContinuousStatsTable[[#This Row],[GroupByKey]]),(ContinuousStatsTable[GroupByKey]=ContinuousStatsTable[[#This Row],[GroupByKey]])*ContinuousStatsTable[Average]))</f>
        <v>1.89028555960295</v>
      </c>
      <c r="U9" s="3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69</v>
      </c>
      <c r="C10">
        <v>1</v>
      </c>
      <c r="D10" t="s">
        <v>83</v>
      </c>
      <c r="E10" t="s">
        <v>79</v>
      </c>
      <c r="F10" t="s">
        <v>77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Ejemplo Comida RapidaCocineroNumber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s="3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s="3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s="3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s="3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 s="3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69</v>
      </c>
      <c r="C11">
        <v>1</v>
      </c>
      <c r="D11" t="s">
        <v>84</v>
      </c>
      <c r="E11" t="s">
        <v>74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Ejemplo Comida RapidaJuntar Pedido y Cliente.Queue1Number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s="3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s="3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s="3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s="3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 s="3">
        <f>IF((ContinuousStatsTable[[#This Row],[RepsRequested]]&gt;1),ContinuousStatsTable[[#This Row],[HalfWidth]],ContinuousStatsTable[[#This Row],[BatchMeansHalfWidth]])</f>
        <v>2E+20</v>
      </c>
    </row>
    <row r="12" spans="1:21" x14ac:dyDescent="0.25">
      <c r="A12" t="s">
        <v>67</v>
      </c>
      <c r="B12" t="s">
        <v>69</v>
      </c>
      <c r="C12">
        <v>1</v>
      </c>
      <c r="D12" t="s">
        <v>85</v>
      </c>
      <c r="E12" t="s">
        <v>74</v>
      </c>
      <c r="F12" t="s">
        <v>72</v>
      </c>
      <c r="G12">
        <v>16.076055009493</v>
      </c>
      <c r="H12">
        <v>2E+20</v>
      </c>
      <c r="I12">
        <v>0</v>
      </c>
      <c r="J12">
        <v>31</v>
      </c>
      <c r="K12">
        <v>31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Ejemplo Comida RapidaJuntar Pedido y Cliente.Queue2Number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16.076055009493</v>
      </c>
      <c r="P12" s="3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3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3" cm="1">
        <f t="array" ref="S12">MIN(IF((ContinuousStatsTable[GroupByKey]=ContinuousStatsTable[[#This Row],[GroupByKey]]),(ContinuousStatsTable[GroupByKey]=ContinuousStatsTable[[#This Row],[GroupByKey]])*ContinuousStatsTable[Average]))</f>
        <v>16.076055009493</v>
      </c>
      <c r="T12" s="3" cm="1">
        <f t="array" ref="T12">MAX(IF((ContinuousStatsTable[GroupByKey]=ContinuousStatsTable[[#This Row],[GroupByKey]]),(ContinuousStatsTable[GroupByKey]=ContinuousStatsTable[[#This Row],[GroupByKey]])*ContinuousStatsTable[Average]))</f>
        <v>16.076055009493</v>
      </c>
      <c r="U12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2">
    <cfRule type="expression" dxfId="15" priority="9">
      <formula>H2=200000000000000000000</formula>
    </cfRule>
  </conditionalFormatting>
  <conditionalFormatting sqref="H2:H12">
    <cfRule type="expression" dxfId="14" priority="7">
      <formula>H2=300000000000000000000</formula>
    </cfRule>
  </conditionalFormatting>
  <conditionalFormatting sqref="M2:U12">
    <cfRule type="expression" dxfId="13" priority="5">
      <formula>MOD(ROW(),2)=0</formula>
    </cfRule>
  </conditionalFormatting>
  <conditionalFormatting sqref="U2:U12">
    <cfRule type="expression" dxfId="12" priority="3">
      <formula>U2=200000000000000000000</formula>
    </cfRule>
    <cfRule type="expression" dxfId="11" priority="4">
      <formula>U2=300000000000000000000</formula>
    </cfRule>
  </conditionalFormatting>
  <conditionalFormatting sqref="R2:R12 U2:U12">
    <cfRule type="expression" dxfId="10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3"/>
  <sheetViews>
    <sheetView workbookViewId="0">
      <selection activeCell="G2" sqref="G2"/>
    </sheetView>
  </sheetViews>
  <sheetFormatPr defaultRowHeight="15" x14ac:dyDescent="0.25"/>
  <cols>
    <col min="1" max="2" width="22.28515625" bestFit="1" customWidth="1"/>
    <col min="3" max="3" width="13.28515625" bestFit="1" customWidth="1"/>
    <col min="4" max="4" width="20.42578125" bestFit="1" customWidth="1"/>
    <col min="5" max="5" width="7.5703125" bestFit="1" customWidth="1"/>
    <col min="6" max="6" width="13.85546875" bestFit="1" customWidth="1"/>
    <col min="7" max="7" width="17" bestFit="1" customWidth="1"/>
    <col min="8" max="8" width="60.710937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69</v>
      </c>
      <c r="C2">
        <v>1</v>
      </c>
      <c r="D2" t="s">
        <v>86</v>
      </c>
      <c r="E2" t="s">
        <v>87</v>
      </c>
      <c r="F2" t="s">
        <v>88</v>
      </c>
      <c r="G2">
        <v>0</v>
      </c>
      <c r="H2" t="str">
        <f>CountersTable[[#This Row],[ProjectName]]&amp;CountersTable[[#This Row],[Name]]&amp;CountersTable[[#This Row],[Type]]&amp;CountersTable[[#This Row],[Source]]</f>
        <v>Ejemplo Comida RapidaClientes AtendidosCountUser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0</v>
      </c>
      <c r="K2" s="3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s="3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 s="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s="3" cm="1">
        <f t="array" ref="N2">MIN(IF((CountersTable[GroupByKey]=CountersTable[[#This Row],[GroupByKey]]),(CountersTable[GroupByKey]=CountersTable[[#This Row],[GroupByKey]])*CountersTable[RecordedValue]))</f>
        <v>0</v>
      </c>
      <c r="O2" s="3" cm="1">
        <f t="array" ref="O2">MAX(IF((CountersTable[GroupByKey]=CountersTable[[#This Row],[GroupByKey]]),(CountersTable[GroupByKey]=CountersTable[[#This Row],[GroupByKey]])*CountersTable[RecordedValue]))</f>
        <v>0</v>
      </c>
    </row>
    <row r="3" spans="1:15" x14ac:dyDescent="0.25">
      <c r="A3" t="s">
        <v>67</v>
      </c>
      <c r="B3" t="s">
        <v>69</v>
      </c>
      <c r="C3">
        <v>1</v>
      </c>
      <c r="D3" t="s">
        <v>89</v>
      </c>
      <c r="E3" t="s">
        <v>87</v>
      </c>
      <c r="F3" t="s">
        <v>88</v>
      </c>
      <c r="G3">
        <v>31</v>
      </c>
      <c r="H3" t="str">
        <f>CountersTable[[#This Row],[ProjectName]]&amp;CountersTable[[#This Row],[Name]]&amp;CountersTable[[#This Row],[Type]]&amp;CountersTable[[#This Row],[Source]]</f>
        <v>Ejemplo Comida RapidaClientes que IngresanCountUser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1</v>
      </c>
      <c r="J3" cm="1">
        <f t="array" ref="J3">IFERROR(AVERAGE(IF((CountersTable[GroupByKey]=CountersTable[[#This Row],[GroupByKey]]),(CountersTable[GroupByKey]=CountersTable[[#This Row],[GroupByKey]])*CountersTable[RecordedValue])),0)</f>
        <v>31</v>
      </c>
      <c r="K3" s="3" cm="1">
        <f t="array" ref="K3">IFERROR(_xlfn.STDEV.S(IF((CountersTable[GroupByKey]=CountersTable[[#This Row],[GroupByKey]]),(CountersTable[GroupByKey]=CountersTable[[#This Row],[GroupByKey]])*CountersTable[RecordedValue])),0)</f>
        <v>0</v>
      </c>
      <c r="L3" s="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 s="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3" s="3" cm="1">
        <f t="array" ref="N3">MIN(IF((CountersTable[GroupByKey]=CountersTable[[#This Row],[GroupByKey]]),(CountersTable[GroupByKey]=CountersTable[[#This Row],[GroupByKey]])*CountersTable[RecordedValue]))</f>
        <v>31</v>
      </c>
      <c r="O3" s="3" cm="1">
        <f t="array" ref="O3">MAX(IF((CountersTable[GroupByKey]=CountersTable[[#This Row],[GroupByKey]]),(CountersTable[GroupByKey]=CountersTable[[#This Row],[GroupByKey]])*CountersTable[RecordedValue]))</f>
        <v>31</v>
      </c>
    </row>
  </sheetData>
  <phoneticPr fontId="2" type="noConversion"/>
  <conditionalFormatting sqref="H2:O3">
    <cfRule type="expression" dxfId="9" priority="2">
      <formula>MOD(ROW(),2)=0</formula>
    </cfRule>
  </conditionalFormatting>
  <conditionalFormatting sqref="M2:M3">
    <cfRule type="expression" dxfId="8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H2" sqref="H2"/>
    </sheetView>
  </sheetViews>
  <sheetFormatPr defaultRowHeight="15" x14ac:dyDescent="0.25"/>
  <cols>
    <col min="1" max="2" width="22.28515625" bestFit="1" customWidth="1"/>
    <col min="3" max="3" width="13.28515625" bestFit="1" customWidth="1"/>
    <col min="4" max="4" width="2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8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90</v>
      </c>
      <c r="E2" t="s">
        <v>91</v>
      </c>
      <c r="F2" t="s">
        <v>77</v>
      </c>
      <c r="G2">
        <v>31</v>
      </c>
      <c r="H2">
        <v>0</v>
      </c>
      <c r="I2" t="str">
        <f>OutputTable[[#This Row],[ProjectName]]&amp;OutputTable[[#This Row],[Name]]&amp;OutputTable[[#This Row],[Type]]&amp;OutputTable[[#This Row],[Source]]</f>
        <v>Ejemplo Comida RapidaCajero.NumberSeizedTotal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31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cm="1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 cm="1">
        <f t="array" ref="O2">MIN(IF((OutputTable[GroupByKey]=OutputTable[[#This Row],[GroupByKey]]),(OutputTable[GroupByKey]=OutputTable[[#This Row],[GroupByKey]])*OutputTable[RecordedValue]))</f>
        <v>31</v>
      </c>
      <c r="P2" s="3" cm="1">
        <f t="array" ref="P2">MAX(IF((OutputTable[GroupByKey]=OutputTable[[#This Row],[GroupByKey]]),(OutputTable[GroupByKey]=OutputTable[[#This Row],[GroupByKey]])*OutputTable[RecordedValue]))</f>
        <v>31</v>
      </c>
    </row>
    <row r="3" spans="1:16" x14ac:dyDescent="0.25">
      <c r="A3" t="s">
        <v>67</v>
      </c>
      <c r="B3" t="s">
        <v>69</v>
      </c>
      <c r="C3">
        <v>1</v>
      </c>
      <c r="D3" t="s">
        <v>92</v>
      </c>
      <c r="E3" t="s">
        <v>93</v>
      </c>
      <c r="F3" t="s">
        <v>77</v>
      </c>
      <c r="G3">
        <v>0.71733299410033502</v>
      </c>
      <c r="H3">
        <v>0</v>
      </c>
      <c r="I3" t="str">
        <f>OutputTable[[#This Row],[ProjectName]]&amp;OutputTable[[#This Row],[Name]]&amp;OutputTable[[#This Row],[Type]]&amp;OutputTable[[#This Row],[Source]]</f>
        <v>Ejemplo Comida RapidaCajero.ScheduledUtilizationScheduled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0.71733299410033502</v>
      </c>
      <c r="L3" s="3" cm="1">
        <f t="array" ref="L3">IFERROR(_xlfn.STDEV.S(IF((OutputTable[GroupByKey]=OutputTable[[#This Row],[GroupByKey]]),(OutputTable[GroupByKey]=OutputTable[[#This Row],[GroupByKey]])*OutputTable[RecordedValue])),0)</f>
        <v>0</v>
      </c>
      <c r="M3" s="3" cm="1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 cm="1">
        <f t="array" ref="O3">MIN(IF((OutputTable[GroupByKey]=OutputTable[[#This Row],[GroupByKey]]),(OutputTable[GroupByKey]=OutputTable[[#This Row],[GroupByKey]])*OutputTable[RecordedValue]))</f>
        <v>0.71733299410033502</v>
      </c>
      <c r="P3" s="3" cm="1">
        <f t="array" ref="P3">MAX(IF((OutputTable[GroupByKey]=OutputTable[[#This Row],[GroupByKey]]),(OutputTable[GroupByKey]=OutputTable[[#This Row],[GroupByKey]])*OutputTable[RecordedValue]))</f>
        <v>0.71733299410033502</v>
      </c>
    </row>
    <row r="4" spans="1:16" x14ac:dyDescent="0.25">
      <c r="A4" t="s">
        <v>67</v>
      </c>
      <c r="B4" t="s">
        <v>69</v>
      </c>
      <c r="C4">
        <v>1</v>
      </c>
      <c r="D4" t="s">
        <v>94</v>
      </c>
      <c r="E4" t="s">
        <v>95</v>
      </c>
      <c r="F4" t="s">
        <v>82</v>
      </c>
      <c r="G4">
        <v>62</v>
      </c>
      <c r="H4">
        <v>0</v>
      </c>
      <c r="I4" t="str">
        <f>OutputTable[[#This Row],[ProjectName]]&amp;OutputTable[[#This Row],[Name]]&amp;OutputTable[[#This Row],[Type]]&amp;OutputTable[[#This Row],[Source]]</f>
        <v>Ejemplo Comida RapidaCliente.NumberInNumber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62</v>
      </c>
      <c r="L4" s="3" cm="1">
        <f t="array" ref="L4">IFERROR(_xlfn.STDEV.S(IF((OutputTable[GroupByKey]=OutputTable[[#This Row],[GroupByKey]]),(OutputTable[GroupByKey]=OutputTable[[#This Row],[GroupByKey]])*OutputTable[RecordedValue])),0)</f>
        <v>0</v>
      </c>
      <c r="M4" s="3" cm="1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 cm="1">
        <f t="array" ref="O4">MIN(IF((OutputTable[GroupByKey]=OutputTable[[#This Row],[GroupByKey]]),(OutputTable[GroupByKey]=OutputTable[[#This Row],[GroupByKey]])*OutputTable[RecordedValue]))</f>
        <v>62</v>
      </c>
      <c r="P4" s="3" cm="1">
        <f t="array" ref="P4">MAX(IF((OutputTable[GroupByKey]=OutputTable[[#This Row],[GroupByKey]]),(OutputTable[GroupByKey]=OutputTable[[#This Row],[GroupByKey]])*OutputTable[RecordedValue]))</f>
        <v>62</v>
      </c>
    </row>
    <row r="5" spans="1:16" x14ac:dyDescent="0.25">
      <c r="A5" t="s">
        <v>67</v>
      </c>
      <c r="B5" t="s">
        <v>69</v>
      </c>
      <c r="C5">
        <v>1</v>
      </c>
      <c r="D5" t="s">
        <v>96</v>
      </c>
      <c r="E5" t="s">
        <v>97</v>
      </c>
      <c r="F5" t="s">
        <v>82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Ejemplo Comida RapidaCliente.NumberOutNumber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s="3" cm="1">
        <f t="array" ref="L5">IFERROR(_xlfn.STDEV.S(IF((OutputTable[GroupByKey]=OutputTable[[#This Row],[GroupByKey]]),(OutputTable[GroupByKey]=OutputTable[[#This Row],[GroupByKey]])*OutputTable[RecordedValue])),0)</f>
        <v>0</v>
      </c>
      <c r="M5" s="3" cm="1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 cm="1">
        <f t="array" ref="O5">MIN(IF((OutputTable[GroupByKey]=OutputTable[[#This Row],[GroupByKey]]),(OutputTable[GroupByKey]=OutputTable[[#This Row],[GroupByKey]])*OutputTable[RecordedValue]))</f>
        <v>0</v>
      </c>
      <c r="P5" s="3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69</v>
      </c>
      <c r="C6">
        <v>1</v>
      </c>
      <c r="D6" t="s">
        <v>98</v>
      </c>
      <c r="E6" t="s">
        <v>91</v>
      </c>
      <c r="F6" t="s">
        <v>77</v>
      </c>
      <c r="G6">
        <v>2</v>
      </c>
      <c r="H6">
        <v>0</v>
      </c>
      <c r="I6" t="str">
        <f>OutputTable[[#This Row],[ProjectName]]&amp;OutputTable[[#This Row],[Name]]&amp;OutputTable[[#This Row],[Type]]&amp;OutputTable[[#This Row],[Source]]</f>
        <v>Ejemplo Comida RapidaCocinero.NumberSeizedTotal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2</v>
      </c>
      <c r="L6" s="3" cm="1">
        <f t="array" ref="L6">IFERROR(_xlfn.STDEV.S(IF((OutputTable[GroupByKey]=OutputTable[[#This Row],[GroupByKey]]),(OutputTable[GroupByKey]=OutputTable[[#This Row],[GroupByKey]])*OutputTable[RecordedValue])),0)</f>
        <v>0</v>
      </c>
      <c r="M6" s="3" cm="1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 cm="1">
        <f t="array" ref="O6">MIN(IF((OutputTable[GroupByKey]=OutputTable[[#This Row],[GroupByKey]]),(OutputTable[GroupByKey]=OutputTable[[#This Row],[GroupByKey]])*OutputTable[RecordedValue]))</f>
        <v>2</v>
      </c>
      <c r="P6" s="3" cm="1">
        <f t="array" ref="P6">MAX(IF((OutputTable[GroupByKey]=OutputTable[[#This Row],[GroupByKey]]),(OutputTable[GroupByKey]=OutputTable[[#This Row],[GroupByKey]])*OutputTable[RecordedValue]))</f>
        <v>2</v>
      </c>
    </row>
    <row r="7" spans="1:16" x14ac:dyDescent="0.25">
      <c r="A7" t="s">
        <v>67</v>
      </c>
      <c r="B7" t="s">
        <v>69</v>
      </c>
      <c r="C7">
        <v>1</v>
      </c>
      <c r="D7" t="s">
        <v>99</v>
      </c>
      <c r="E7" t="s">
        <v>93</v>
      </c>
      <c r="F7" t="s">
        <v>77</v>
      </c>
      <c r="G7">
        <v>0.94514277980147399</v>
      </c>
      <c r="H7">
        <v>0</v>
      </c>
      <c r="I7" t="str">
        <f>OutputTable[[#This Row],[ProjectName]]&amp;OutputTable[[#This Row],[Name]]&amp;OutputTable[[#This Row],[Type]]&amp;OutputTable[[#This Row],[Source]]</f>
        <v>Ejemplo Comida RapidaCocinero.ScheduledUtilizationScheduled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0.94514277980147399</v>
      </c>
      <c r="L7" s="3" cm="1">
        <f t="array" ref="L7">IFERROR(_xlfn.STDEV.S(IF((OutputTable[GroupByKey]=OutputTable[[#This Row],[GroupByKey]]),(OutputTable[GroupByKey]=OutputTable[[#This Row],[GroupByKey]])*OutputTable[RecordedValue])),0)</f>
        <v>0</v>
      </c>
      <c r="M7" s="3" cm="1">
        <f t="array" ref="M7">MAX(IF((ProjectInfoTable[ProjectName]=OutputTable[[#This Row],[ProjectName]]),(ProjectInfoTable[ProjectName]=OutputTable[[#This Row],[ProjectName]])*ProjectInfoTable[ConfidenceInterval]))</f>
        <v>0.95</v>
      </c>
      <c r="N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s="3" cm="1">
        <f t="array" ref="O7">MIN(IF((OutputTable[GroupByKey]=OutputTable[[#This Row],[GroupByKey]]),(OutputTable[GroupByKey]=OutputTable[[#This Row],[GroupByKey]])*OutputTable[RecordedValue]))</f>
        <v>0.94514277980147399</v>
      </c>
      <c r="P7" s="3" cm="1">
        <f t="array" ref="P7">MAX(IF((OutputTable[GroupByKey]=OutputTable[[#This Row],[GroupByKey]]),(OutputTable[GroupByKey]=OutputTable[[#This Row],[GroupByKey]])*OutputTable[RecordedValue]))</f>
        <v>0.94514277980147399</v>
      </c>
    </row>
    <row r="8" spans="1:16" x14ac:dyDescent="0.25">
      <c r="A8" t="s">
        <v>67</v>
      </c>
      <c r="B8" t="s">
        <v>69</v>
      </c>
      <c r="C8">
        <v>1</v>
      </c>
      <c r="D8" t="s">
        <v>100</v>
      </c>
      <c r="E8" t="s">
        <v>97</v>
      </c>
      <c r="F8" t="s">
        <v>101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Ejemplo Comida RapidaSystem.NumberOutNumber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s="3" cm="1">
        <f t="array" ref="L8">IFERROR(_xlfn.STDEV.S(IF((OutputTable[GroupByKey]=OutputTable[[#This Row],[GroupByKey]]),(OutputTable[GroupByKey]=OutputTable[[#This Row],[GroupByKey]])*OutputTable[RecordedValue])),0)</f>
        <v>0</v>
      </c>
      <c r="M8" s="3" cm="1">
        <f t="array" ref="M8">MAX(IF((ProjectInfoTable[ProjectName]=OutputTable[[#This Row],[ProjectName]]),(ProjectInfoTable[ProjectName]=OutputTable[[#This Row],[ProjectName]])*ProjectInfoTable[ConfidenceInterval]))</f>
        <v>0.95</v>
      </c>
      <c r="N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s="3" cm="1">
        <f t="array" ref="O8">MIN(IF((OutputTable[GroupByKey]=OutputTable[[#This Row],[GroupByKey]]),(OutputTable[GroupByKey]=OutputTable[[#This Row],[GroupByKey]])*OutputTable[RecordedValue]))</f>
        <v>0</v>
      </c>
      <c r="P8" s="3" cm="1">
        <f t="array" ref="P8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8">
    <cfRule type="expression" dxfId="7" priority="2">
      <formula>MOD(ROW(),2)=0</formula>
    </cfRule>
  </conditionalFormatting>
  <conditionalFormatting sqref="N2:N8">
    <cfRule type="expression" dxfId="6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V45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22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s="3" t="s">
        <v>48</v>
      </c>
      <c r="N1" s="3" t="s">
        <v>60</v>
      </c>
      <c r="O1" s="3" t="s">
        <v>29</v>
      </c>
      <c r="P1" s="3" t="s">
        <v>34</v>
      </c>
      <c r="Q1" s="3"/>
      <c r="R1" s="3"/>
      <c r="S1" s="3"/>
      <c r="T1" s="3"/>
      <c r="U1" s="3"/>
      <c r="V1" s="3"/>
    </row>
    <row r="2" spans="1:22" x14ac:dyDescent="0.25">
      <c r="Q2" s="3"/>
      <c r="R2" s="3"/>
      <c r="S2" s="3"/>
      <c r="T2" s="3"/>
      <c r="U2" s="3"/>
      <c r="V2" s="3"/>
    </row>
    <row r="3" spans="1:22" x14ac:dyDescent="0.25">
      <c r="Q3" s="3"/>
      <c r="R3" s="3"/>
      <c r="S3" s="3"/>
      <c r="T3" s="3"/>
      <c r="U3" s="3"/>
      <c r="V3" s="3"/>
    </row>
    <row r="4" spans="1:22" x14ac:dyDescent="0.25">
      <c r="Q4" s="3"/>
      <c r="R4" s="3"/>
      <c r="S4" s="3"/>
      <c r="T4" s="3"/>
      <c r="U4" s="3"/>
      <c r="V4" s="3"/>
    </row>
    <row r="5" spans="1:22" x14ac:dyDescent="0.25">
      <c r="Q5" s="3"/>
      <c r="R5" s="3"/>
      <c r="S5" s="3"/>
      <c r="T5" s="3"/>
      <c r="U5" s="3"/>
      <c r="V5" s="3"/>
    </row>
    <row r="6" spans="1:22" x14ac:dyDescent="0.25">
      <c r="Q6" s="3"/>
      <c r="R6" s="3"/>
      <c r="S6" s="3"/>
      <c r="T6" s="3"/>
      <c r="U6" s="3"/>
      <c r="V6" s="3"/>
    </row>
    <row r="7" spans="1:22" x14ac:dyDescent="0.25">
      <c r="Q7" s="3"/>
      <c r="R7" s="3"/>
      <c r="S7" s="3"/>
      <c r="T7" s="3"/>
      <c r="U7" s="3"/>
      <c r="V7" s="3"/>
    </row>
    <row r="8" spans="1:22" x14ac:dyDescent="0.25">
      <c r="Q8" s="3"/>
      <c r="R8" s="3"/>
      <c r="S8" s="3"/>
      <c r="T8" s="3"/>
      <c r="U8" s="3"/>
      <c r="V8" s="3"/>
    </row>
    <row r="9" spans="1:22" x14ac:dyDescent="0.25">
      <c r="Q9" s="3"/>
      <c r="R9" s="3"/>
      <c r="S9" s="3"/>
      <c r="T9" s="3"/>
      <c r="U9" s="3"/>
      <c r="V9" s="3"/>
    </row>
    <row r="10" spans="1:22" x14ac:dyDescent="0.25">
      <c r="Q10" s="3"/>
      <c r="R10" s="3"/>
      <c r="S10" s="3"/>
      <c r="T10" s="3"/>
      <c r="U10" s="3"/>
      <c r="V10" s="3"/>
    </row>
    <row r="11" spans="1:22" x14ac:dyDescent="0.25">
      <c r="Q11" s="3"/>
      <c r="R11" s="3"/>
      <c r="S11" s="3"/>
      <c r="T11" s="3"/>
      <c r="U11" s="3"/>
      <c r="V11" s="3"/>
    </row>
    <row r="12" spans="1:22" x14ac:dyDescent="0.25">
      <c r="Q12" s="3"/>
      <c r="R12" s="3"/>
      <c r="S12" s="3"/>
      <c r="T12" s="3"/>
      <c r="U12" s="3"/>
      <c r="V12" s="3"/>
    </row>
    <row r="13" spans="1:22" x14ac:dyDescent="0.25">
      <c r="Q13" s="3"/>
      <c r="R13" s="3"/>
      <c r="S13" s="3"/>
      <c r="T13" s="3"/>
      <c r="U13" s="3"/>
      <c r="V13" s="3"/>
    </row>
    <row r="17" spans="2:22" x14ac:dyDescent="0.25">
      <c r="B17" s="5"/>
      <c r="M17" s="3"/>
      <c r="N17" s="3"/>
      <c r="O17" s="3"/>
      <c r="P17" s="3"/>
    </row>
    <row r="18" spans="2:22" x14ac:dyDescent="0.25">
      <c r="B18" s="5"/>
    </row>
    <row r="19" spans="2:22" x14ac:dyDescent="0.25">
      <c r="B19" s="5"/>
    </row>
    <row r="20" spans="2:22" x14ac:dyDescent="0.25">
      <c r="B20" s="5"/>
    </row>
    <row r="21" spans="2:22" x14ac:dyDescent="0.25">
      <c r="B21" s="5"/>
    </row>
    <row r="22" spans="2:22" x14ac:dyDescent="0.25">
      <c r="B22" s="5"/>
    </row>
    <row r="23" spans="2:22" x14ac:dyDescent="0.25">
      <c r="B23" s="5"/>
    </row>
    <row r="24" spans="2:22" x14ac:dyDescent="0.25">
      <c r="B24" s="5"/>
    </row>
    <row r="25" spans="2:22" x14ac:dyDescent="0.25">
      <c r="B25" s="5"/>
    </row>
    <row r="26" spans="2:22" x14ac:dyDescent="0.25">
      <c r="B26" s="5"/>
    </row>
    <row r="27" spans="2:22" x14ac:dyDescent="0.25">
      <c r="B27" s="5"/>
    </row>
    <row r="28" spans="2:22" x14ac:dyDescent="0.25">
      <c r="B28" s="5"/>
    </row>
    <row r="29" spans="2:22" x14ac:dyDescent="0.25">
      <c r="B29" s="5"/>
    </row>
    <row r="30" spans="2:22" x14ac:dyDescent="0.25">
      <c r="B30" s="5"/>
    </row>
    <row r="31" spans="2:22" x14ac:dyDescent="0.25">
      <c r="B31" s="5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45" spans="17:22" x14ac:dyDescent="0.25">
      <c r="Q45" s="3"/>
      <c r="R45" s="3"/>
      <c r="S45" s="3"/>
      <c r="T45" s="3"/>
      <c r="U45" s="3"/>
      <c r="V45" s="3"/>
    </row>
  </sheetData>
  <phoneticPr fontId="2" type="noConversion"/>
  <conditionalFormatting sqref="K1:P2 K17:P17 Q45:V45 K31:V31">
    <cfRule type="expression" dxfId="5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Edwin Alejandro Forero Gómez</cp:lastModifiedBy>
  <cp:lastPrinted>2022-03-22T10:33:10Z</cp:lastPrinted>
  <dcterms:created xsi:type="dcterms:W3CDTF">2020-06-29T21:30:31Z</dcterms:created>
  <dcterms:modified xsi:type="dcterms:W3CDTF">2023-05-25T00:45:21Z</dcterms:modified>
</cp:coreProperties>
</file>